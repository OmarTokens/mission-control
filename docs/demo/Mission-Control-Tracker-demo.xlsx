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ol Center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Projection" sheetId="4" state="visible" r:id="rId4"/>
    <sheet xmlns:r="http://schemas.openxmlformats.org/officeDocument/2006/relationships" name="Value Sleeve" sheetId="5" state="visible" r:id="rId5"/>
    <sheet xmlns:r="http://schemas.openxmlformats.org/officeDocument/2006/relationships" name="Watchlist" sheetId="6" state="visible" r:id="rId6"/>
    <sheet xmlns:r="http://schemas.openxmlformats.org/officeDocument/2006/relationships" name="Daily Log" sheetId="7" state="visible" r:id="rId7"/>
    <sheet xmlns:r="http://schemas.openxmlformats.org/officeDocument/2006/relationships" name="History" sheetId="8" state="visible" r:id="rId8"/>
  </sheets>
  <definedNames>
    <definedName name="_xlnm._FilterDatabase" localSheetId="5" hidden="1">'Watchlist'!$A$4:$L$141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$#,##0.00"/>
    <numFmt numFmtId="166" formatCode="0.0%"/>
    <numFmt numFmtId="167" formatCode="0.0"/>
    <numFmt numFmtId="168" formatCode="#,##0.##"/>
    <numFmt numFmtId="169" formatCode="yyyy-mm-dd"/>
    <numFmt numFmtId="170" formatCode="+$#,##0;-$#,##0;—"/>
  </numFmts>
  <fonts count="19">
    <font>
      <name val="Calibri"/>
      <family val="2"/>
      <color theme="1"/>
      <sz val="11"/>
      <scheme val="minor"/>
    </font>
    <font>
      <name val="Roboto"/>
      <b val="1"/>
      <color rgb="001F2937"/>
      <sz val="16"/>
    </font>
    <font>
      <name val="Roboto"/>
      <color rgb="006B7280"/>
      <sz val="9"/>
    </font>
    <font>
      <name val="Roboto"/>
      <b val="1"/>
      <color rgb="00FFFFFF"/>
      <sz val="11"/>
    </font>
    <font>
      <name val="Roboto"/>
      <b val="1"/>
      <color rgb="001F2937"/>
      <sz val="10"/>
    </font>
    <font>
      <name val="Roboto"/>
      <color rgb="001F2937"/>
      <sz val="10"/>
    </font>
    <font>
      <name val="Roboto"/>
      <sz val="10"/>
    </font>
    <font>
      <name val="Roboto"/>
      <b val="1"/>
      <color rgb="001F2937"/>
      <sz val="9"/>
    </font>
    <font>
      <name val="Roboto"/>
      <color rgb="001F2937"/>
      <sz val="9"/>
    </font>
    <font>
      <name val="Roboto"/>
      <color rgb="009CA3AF"/>
      <sz val="8"/>
    </font>
    <font>
      <name val="Roboto"/>
      <b val="1"/>
      <sz val="10"/>
    </font>
    <font>
      <name val="Roboto"/>
      <color rgb="006B7280"/>
      <sz val="8"/>
    </font>
    <font>
      <name val="Roboto"/>
      <b val="1"/>
      <color rgb="001F2937"/>
      <sz val="14"/>
    </font>
    <font>
      <name val="Roboto"/>
      <b val="1"/>
      <color rgb="001F2937"/>
      <sz val="20"/>
    </font>
    <font>
      <name val="Roboto"/>
      <b val="1"/>
      <color rgb="006B7280"/>
      <sz val="8"/>
    </font>
    <font>
      <name val="Roboto"/>
      <b val="1"/>
      <color rgb="001F2937"/>
      <sz val="15"/>
    </font>
    <font>
      <name val="Roboto"/>
      <b val="1"/>
      <sz val="11"/>
    </font>
    <font>
      <name val="Roboto"/>
      <sz val="9"/>
    </font>
    <font>
      <name val="Roboto"/>
      <b val="1"/>
      <sz val="14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FFF7D6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left/>
      <right/>
      <top/>
      <bottom style="thin">
        <color rgb="00E5E7EB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5" borderId="0" pivotButton="0" quotePrefix="0" xfId="0"/>
    <xf numFmtId="0" fontId="0" fillId="5" borderId="0" pivotButton="0" quotePrefix="0" xfId="0"/>
    <xf numFmtId="164" fontId="15" fillId="5" borderId="0" pivotButton="0" quotePrefix="0" xfId="0"/>
    <xf numFmtId="0" fontId="11" fillId="5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1" fillId="0" borderId="0" pivotButton="0" quotePrefix="0" xfId="0"/>
    <xf numFmtId="0" fontId="4" fillId="3" borderId="1" applyAlignment="1" pivotButton="0" quotePrefix="0" xfId="0">
      <alignment vertical="top" wrapText="1"/>
    </xf>
    <xf numFmtId="0" fontId="9" fillId="0" borderId="0" pivotButton="0" quotePrefix="0" xfId="0"/>
    <xf numFmtId="164" fontId="9" fillId="0" borderId="0" pivotButton="0" quotePrefix="0" xfId="0"/>
    <xf numFmtId="0" fontId="4" fillId="0" borderId="1" pivotButton="0" quotePrefix="0" xfId="0"/>
    <xf numFmtId="164" fontId="6" fillId="0" borderId="1" pivotButton="0" quotePrefix="0" xfId="0"/>
    <xf numFmtId="166" fontId="6" fillId="0" borderId="1" pivotButton="0" quotePrefix="0" xfId="0"/>
    <xf numFmtId="9" fontId="6" fillId="0" borderId="1" pivotButton="0" quotePrefix="0" xfId="0"/>
    <xf numFmtId="170" fontId="6" fillId="0" borderId="1" pivotButton="0" quotePrefix="0" xfId="0"/>
    <xf numFmtId="0" fontId="6" fillId="0" borderId="1" pivotButton="0" quotePrefix="0" xfId="0"/>
    <xf numFmtId="0" fontId="4" fillId="0" borderId="0" pivotButton="0" quotePrefix="0" xfId="0"/>
    <xf numFmtId="0" fontId="18" fillId="0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9" fontId="5" fillId="4" borderId="1" pivotButton="0" quotePrefix="0" xfId="0"/>
    <xf numFmtId="0" fontId="5" fillId="0" borderId="1" applyAlignment="1" pivotButton="0" quotePrefix="0" xfId="0">
      <alignment vertical="top" wrapText="1"/>
    </xf>
    <xf numFmtId="9" fontId="4" fillId="0" borderId="0" pivotButton="0" quotePrefix="0" xfId="0"/>
    <xf numFmtId="0" fontId="4" fillId="0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0" fillId="0" borderId="2" pivotButton="0" quotePrefix="0" xfId="0"/>
    <xf numFmtId="4" fontId="5" fillId="4" borderId="1" pivotButton="0" quotePrefix="0" xfId="0"/>
    <xf numFmtId="165" fontId="5" fillId="4" borderId="1" pivotButton="0" quotePrefix="0" xfId="0"/>
    <xf numFmtId="165" fontId="6" fillId="0" borderId="1" pivotButton="0" quotePrefix="0" xfId="0"/>
    <xf numFmtId="0" fontId="2" fillId="0" borderId="1" applyAlignment="1" pivotButton="0" quotePrefix="0" xfId="0">
      <alignment vertical="top" wrapText="1"/>
    </xf>
    <xf numFmtId="164" fontId="5" fillId="4" borderId="1" pivotButton="0" quotePrefix="0" xfId="0"/>
    <xf numFmtId="0" fontId="5" fillId="4" borderId="1" pivotButton="0" quotePrefix="0" xfId="0"/>
    <xf numFmtId="164" fontId="4" fillId="0" borderId="0" pivotButton="0" quotePrefix="0" xfId="0"/>
    <xf numFmtId="166" fontId="5" fillId="4" borderId="1" pivotButton="0" quotePrefix="0" xfId="0"/>
    <xf numFmtId="0" fontId="7" fillId="0" borderId="0" pivotButton="0" quotePrefix="0" xfId="0"/>
    <xf numFmtId="2" fontId="8" fillId="4" borderId="0" pivotButton="0" quotePrefix="0" xfId="0"/>
    <xf numFmtId="10" fontId="6" fillId="0" borderId="1" pivotButton="0" quotePrefix="0" xfId="0"/>
    <xf numFmtId="164" fontId="10" fillId="0" borderId="1" pivotButton="0" quotePrefix="0" xfId="0"/>
    <xf numFmtId="0" fontId="4" fillId="4" borderId="1" pivotButton="0" quotePrefix="0" xfId="0"/>
    <xf numFmtId="167" fontId="6" fillId="0" borderId="1" pivotButton="0" quotePrefix="0" xfId="0"/>
    <xf numFmtId="0" fontId="10" fillId="0" borderId="1" pivotButton="0" quotePrefix="0" xfId="0"/>
    <xf numFmtId="168" fontId="6" fillId="0" borderId="1" pivotButton="0" quotePrefix="0" xfId="0"/>
    <xf numFmtId="0" fontId="8" fillId="0" borderId="1" applyAlignment="1" pivotButton="0" quotePrefix="0" xfId="0">
      <alignment vertical="top" wrapText="1"/>
    </xf>
    <xf numFmtId="3" fontId="6" fillId="0" borderId="1" pivotButton="0" quotePrefix="0" xfId="0"/>
    <xf numFmtId="169" fontId="5" fillId="0" borderId="1" applyAlignment="1" pivotButton="0" quotePrefix="0" xfId="0">
      <alignment vertical="top" wrapText="1"/>
    </xf>
    <xf numFmtId="0" fontId="12" fillId="0" borderId="0" pivotButton="0" quotePrefix="0" xfId="0"/>
    <xf numFmtId="169" fontId="5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5">
    <dxf>
      <font>
        <color rgb="0015803D"/>
      </font>
    </dxf>
    <dxf>
      <font>
        <color rgb="00B91C1C"/>
      </font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3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MISSION CONTROL: household dashboard</t>
        </is>
      </c>
    </row>
    <row r="2">
      <c r="A2" s="2">
        <f>"Live prices · last scan: "&amp;TEXT(INDIRECT("'Daily Log'!A5"),"ddd d mmm")&amp;" ("&amp;INDIRECT("'Daily Log'!B5")&amp;")"</f>
        <v/>
      </c>
    </row>
    <row r="4">
      <c r="A4" s="3" t="inlineStr">
        <is>
          <t>TOTAL VALUE</t>
        </is>
      </c>
      <c r="B4" s="4" t="n"/>
      <c r="C4" s="3" t="inlineStr">
        <is>
          <t>TAXABLE</t>
        </is>
      </c>
      <c r="D4" s="4" t="n"/>
      <c r="E4" s="3" t="inlineStr">
        <is>
          <t>RETIREMENT</t>
        </is>
      </c>
      <c r="F4" s="4" t="n"/>
      <c r="H4" s="3" t="inlineStr">
        <is>
          <t>CASH + T-BILLS</t>
        </is>
      </c>
      <c r="I4" s="4" t="n"/>
      <c r="J4" s="3" t="inlineStr">
        <is>
          <t>UNREALIZED GAIN</t>
        </is>
      </c>
      <c r="K4" s="4" t="n"/>
      <c r="L4" s="3" t="inlineStr">
        <is>
          <t>VALUE SLEEVE</t>
        </is>
      </c>
      <c r="M4" s="4" t="n"/>
    </row>
    <row r="5">
      <c r="A5" s="5">
        <f>SUM(Holdings!$H$5:$H$32)</f>
        <v/>
      </c>
      <c r="B5" s="4" t="n"/>
      <c r="C5" s="5">
        <f>SUMIF(Holdings!$B$5:$B$32,"Taxable",Holdings!$H$5:$H$32)</f>
        <v/>
      </c>
      <c r="D5" s="4" t="n"/>
      <c r="E5" s="5">
        <f>SUMIF(Holdings!$B$5:$B$32,"Retirement",Holdings!$H$5:$H$32)</f>
        <v/>
      </c>
      <c r="F5" s="4" t="n"/>
      <c r="H5" s="5">
        <f>SUMIF(Holdings!$D$5:$D$32,"Cash",Holdings!$H$5:$H$32) + SUMIF(Holdings!$D$5:$D$32,"T-bills",Holdings!$H$5:$H$32)</f>
        <v/>
      </c>
      <c r="I5" s="4" t="n"/>
      <c r="J5" s="5">
        <f>SUM(Holdings!$I$5:$I$32)</f>
        <v/>
      </c>
      <c r="K5" s="4" t="n"/>
      <c r="L5" s="5">
        <f>SUM('Value Sleeve'!$K$5:$K$14)</f>
        <v/>
      </c>
      <c r="M5" s="4" t="n"/>
    </row>
    <row r="6">
      <c r="A6" s="6">
        <f>"household, live"</f>
        <v/>
      </c>
      <c r="B6" s="4" t="n"/>
      <c r="C6" s="6">
        <f>TEXT(SUMIF(Holdings!$B$5:$B$32,"Taxable",Holdings!$H$5:$H$32)/SUM(Holdings!$H$5:$H$32),"0%")&amp;" of total"</f>
        <v/>
      </c>
      <c r="D6" s="4" t="n"/>
      <c r="E6" s="6">
        <f>TEXT(SUMIF(Holdings!$B$5:$B$32,"Retirement",Holdings!$H$5:$H$32)/SUM(Holdings!$H$5:$H$32),"0%")&amp;" of total"</f>
        <v/>
      </c>
      <c r="F6" s="4" t="n"/>
      <c r="H6" s="6">
        <f>TEXT((SUMIF(Holdings!$D$5:$D$32,"Cash",Holdings!$H$5:$H$32) + SUMIF(Holdings!$D$5:$D$32,"T-bills",Holdings!$H$5:$H$32))/SUM(Holdings!$H$5:$H$32),"0%")&amp;" not in stocks"</f>
        <v/>
      </c>
      <c r="I6" s="4" t="n"/>
      <c r="J6" s="6">
        <f>"on positions with known cost"</f>
        <v/>
      </c>
      <c r="K6" s="4" t="n"/>
      <c r="L6" s="6">
        <f>COUNTIF('Value Sleeve'!$G$5:$G$14,"IN ZONE")&amp;" in buy zone"</f>
        <v/>
      </c>
      <c r="M6" s="4" t="n"/>
    </row>
    <row r="8">
      <c r="A8" s="7" t="inlineStr">
        <is>
          <t>LATEST SCAN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9">
        <f>""&amp;INDIRECT("'Daily Log'!C5")</f>
        <v/>
      </c>
    </row>
    <row r="10" ht="28" customHeight="1">
      <c r="A10" s="10">
        <f>"▸ "&amp;INDIRECT("'Daily Log'!D5")</f>
        <v/>
      </c>
    </row>
    <row r="11" ht="28" customHeight="1">
      <c r="A11" s="10">
        <f>"▸ Buy zones: "&amp;INDIRECT("'Daily Log'!E5")</f>
        <v/>
      </c>
    </row>
    <row r="12" ht="28" customHeight="1">
      <c r="A12" s="10">
        <f>"▸ Rebalance/tax: "&amp;INDIRECT("'Daily Log'!F5")</f>
        <v/>
      </c>
    </row>
    <row r="13" ht="28" customHeight="1">
      <c r="A13" s="10">
        <f>"▸ Risks: "&amp;INDIRECT("'Daily Log'!G5")</f>
        <v/>
      </c>
    </row>
    <row r="15">
      <c r="A15" s="7" t="inlineStr">
        <is>
          <t>ALLOCATION vs TARGET (household)</t>
        </is>
      </c>
      <c r="B15" s="8" t="n"/>
      <c r="C15" s="8" t="n"/>
      <c r="D15" s="8" t="n"/>
      <c r="E15" s="8" t="n"/>
      <c r="F15" s="8" t="n"/>
      <c r="H15" s="7" t="inlineStr">
        <is>
          <t>TAXABLE vs RETIREMENT</t>
        </is>
      </c>
      <c r="I15" s="8" t="n"/>
      <c r="J15" s="8" t="n"/>
      <c r="K15" s="8" t="n"/>
      <c r="L15" s="8" t="n"/>
      <c r="N15" s="11" t="inlineStr">
        <is>
          <t>chart data (don't edit)</t>
        </is>
      </c>
    </row>
    <row r="16">
      <c r="A16" s="12" t="inlineStr">
        <is>
          <t>Sleeve</t>
        </is>
      </c>
      <c r="B16" s="12" t="inlineStr">
        <is>
          <t>Now $</t>
        </is>
      </c>
      <c r="C16" s="12" t="inlineStr">
        <is>
          <t>Now %</t>
        </is>
      </c>
      <c r="D16" s="12" t="inlineStr">
        <is>
          <t>Target %</t>
        </is>
      </c>
      <c r="E16" s="12" t="inlineStr">
        <is>
          <t>Gap $ (+buy / −sell)</t>
        </is>
      </c>
      <c r="F16" s="12" t="inlineStr">
        <is>
          <t>Progress</t>
        </is>
      </c>
      <c r="H16" s="12" t="inlineStr">
        <is>
          <t>Sleeve</t>
        </is>
      </c>
      <c r="I16" s="12" t="inlineStr">
        <is>
          <t>Taxable $</t>
        </is>
      </c>
      <c r="J16" s="12" t="inlineStr">
        <is>
          <t>Taxable %</t>
        </is>
      </c>
      <c r="K16" s="12" t="inlineStr">
        <is>
          <t>Retirement $</t>
        </is>
      </c>
      <c r="L16" s="12" t="inlineStr">
        <is>
          <t>Retirement %</t>
        </is>
      </c>
      <c r="N16" s="13" t="inlineStr">
        <is>
          <t>Sleeve</t>
        </is>
      </c>
      <c r="O16" s="14" t="inlineStr">
        <is>
          <t>Now</t>
        </is>
      </c>
      <c r="P16" s="14" t="inlineStr">
        <is>
          <t>Target</t>
        </is>
      </c>
      <c r="Q16" s="14" t="inlineStr">
        <is>
          <t>Taxable</t>
        </is>
      </c>
      <c r="R16" s="14" t="inlineStr">
        <is>
          <t>Retirement</t>
        </is>
      </c>
    </row>
    <row r="17">
      <c r="A17" s="15" t="inlineStr">
        <is>
          <t>US</t>
        </is>
      </c>
      <c r="B17" s="16">
        <f>SUMIF(Holdings!$D$5:$D$32,$A17,Holdings!$H$5:$H$32)</f>
        <v/>
      </c>
      <c r="C17" s="17">
        <f>IFERROR(B17/SUM(Holdings!$H$5:$H$32),0)</f>
        <v/>
      </c>
      <c r="D17" s="18">
        <f>'Control Center'!$B$6</f>
        <v/>
      </c>
      <c r="E17" s="19">
        <f>ROUND(D17*SUM(Holdings!$H$5:$H$32)-B17,-2)</f>
        <v/>
      </c>
      <c r="F17" s="20">
        <f>SPARKLINE(C17,{"charttype","bar";"max",MAX(D17,C17,0.0001);"color1",IF(ABS(C17-D17)&lt;='Control Center'!$B$16,"#16a34a","#f59e0b")})</f>
        <v/>
      </c>
      <c r="H17" s="15" t="inlineStr">
        <is>
          <t>US</t>
        </is>
      </c>
      <c r="I17" s="16">
        <f>SUMIFS(Holdings!$H$5:$H$32,Holdings!$D$5:$D$32,$H17,Holdings!$B$5:$B$32,"Taxable")</f>
        <v/>
      </c>
      <c r="J17" s="18">
        <f>IFERROR(I17/SUMIF(Holdings!$B$5:$B$32,"Taxable",Holdings!$H$5:$H$32),0)</f>
        <v/>
      </c>
      <c r="K17" s="16">
        <f>SUMIFS(Holdings!$H$5:$H$32,Holdings!$D$5:$D$32,$H17,Holdings!$B$5:$B$32,"Retirement")</f>
        <v/>
      </c>
      <c r="L17" s="18">
        <f>IFERROR(K17/SUMIF(Holdings!$B$5:$B$32,"Retirement",Holdings!$H$5:$H$32),0)</f>
        <v/>
      </c>
      <c r="N17" s="13" t="inlineStr">
        <is>
          <t>US</t>
        </is>
      </c>
      <c r="O17" s="14">
        <f>B17</f>
        <v/>
      </c>
      <c r="P17" s="14">
        <f>D17*SUM(Holdings!$H$5:$H$32)</f>
        <v/>
      </c>
      <c r="Q17" s="14">
        <f>I17</f>
        <v/>
      </c>
      <c r="R17" s="14">
        <f>K17</f>
        <v/>
      </c>
    </row>
    <row r="18">
      <c r="A18" s="15" t="inlineStr">
        <is>
          <t>Intl</t>
        </is>
      </c>
      <c r="B18" s="16">
        <f>SUMIF(Holdings!$D$5:$D$32,$A18,Holdings!$H$5:$H$32)</f>
        <v/>
      </c>
      <c r="C18" s="17">
        <f>IFERROR(B18/SUM(Holdings!$H$5:$H$32),0)</f>
        <v/>
      </c>
      <c r="D18" s="18">
        <f>'Control Center'!$B$7</f>
        <v/>
      </c>
      <c r="E18" s="19">
        <f>ROUND(D18*SUM(Holdings!$H$5:$H$32)-B18,-2)</f>
        <v/>
      </c>
      <c r="F18" s="20">
        <f>SPARKLINE(C18,{"charttype","bar";"max",MAX(D18,C18,0.0001);"color1",IF(ABS(C18-D18)&lt;='Control Center'!$B$16,"#16a34a","#f59e0b")})</f>
        <v/>
      </c>
      <c r="H18" s="15" t="inlineStr">
        <is>
          <t>Intl</t>
        </is>
      </c>
      <c r="I18" s="16">
        <f>SUMIFS(Holdings!$H$5:$H$32,Holdings!$D$5:$D$32,$H18,Holdings!$B$5:$B$32,"Taxable")</f>
        <v/>
      </c>
      <c r="J18" s="18">
        <f>IFERROR(I18/SUMIF(Holdings!$B$5:$B$32,"Taxable",Holdings!$H$5:$H$32),0)</f>
        <v/>
      </c>
      <c r="K18" s="16">
        <f>SUMIFS(Holdings!$H$5:$H$32,Holdings!$D$5:$D$32,$H18,Holdings!$B$5:$B$32,"Retirement")</f>
        <v/>
      </c>
      <c r="L18" s="18">
        <f>IFERROR(K18/SUMIF(Holdings!$B$5:$B$32,"Retirement",Holdings!$H$5:$H$32),0)</f>
        <v/>
      </c>
      <c r="N18" s="13" t="inlineStr">
        <is>
          <t>Intl</t>
        </is>
      </c>
      <c r="O18" s="14">
        <f>B18</f>
        <v/>
      </c>
      <c r="P18" s="14">
        <f>D18*SUM(Holdings!$H$5:$H$32)</f>
        <v/>
      </c>
      <c r="Q18" s="14">
        <f>I18</f>
        <v/>
      </c>
      <c r="R18" s="14">
        <f>K18</f>
        <v/>
      </c>
    </row>
    <row r="19">
      <c r="A19" s="15" t="inlineStr">
        <is>
          <t>Gold</t>
        </is>
      </c>
      <c r="B19" s="16">
        <f>SUMIF(Holdings!$D$5:$D$32,$A19,Holdings!$H$5:$H$32)</f>
        <v/>
      </c>
      <c r="C19" s="17">
        <f>IFERROR(B19/SUM(Holdings!$H$5:$H$32),0)</f>
        <v/>
      </c>
      <c r="D19" s="18">
        <f>'Control Center'!$B$8</f>
        <v/>
      </c>
      <c r="E19" s="19">
        <f>ROUND(D19*SUM(Holdings!$H$5:$H$32)-B19,-2)</f>
        <v/>
      </c>
      <c r="F19" s="20">
        <f>SPARKLINE(C19,{"charttype","bar";"max",MAX(D19,C19,0.0001);"color1",IF(ABS(C19-D19)&lt;='Control Center'!$B$16,"#16a34a","#f59e0b")})</f>
        <v/>
      </c>
      <c r="H19" s="15" t="inlineStr">
        <is>
          <t>Gold</t>
        </is>
      </c>
      <c r="I19" s="16">
        <f>SUMIFS(Holdings!$H$5:$H$32,Holdings!$D$5:$D$32,$H19,Holdings!$B$5:$B$32,"Taxable")</f>
        <v/>
      </c>
      <c r="J19" s="18">
        <f>IFERROR(I19/SUMIF(Holdings!$B$5:$B$32,"Taxable",Holdings!$H$5:$H$32),0)</f>
        <v/>
      </c>
      <c r="K19" s="16">
        <f>SUMIFS(Holdings!$H$5:$H$32,Holdings!$D$5:$D$32,$H19,Holdings!$B$5:$B$32,"Retirement")</f>
        <v/>
      </c>
      <c r="L19" s="18">
        <f>IFERROR(K19/SUMIF(Holdings!$B$5:$B$32,"Retirement",Holdings!$H$5:$H$32),0)</f>
        <v/>
      </c>
      <c r="N19" s="13" t="inlineStr">
        <is>
          <t>Gold</t>
        </is>
      </c>
      <c r="O19" s="14">
        <f>B19</f>
        <v/>
      </c>
      <c r="P19" s="14">
        <f>D19*SUM(Holdings!$H$5:$H$32)</f>
        <v/>
      </c>
      <c r="Q19" s="14">
        <f>I19</f>
        <v/>
      </c>
      <c r="R19" s="14">
        <f>K19</f>
        <v/>
      </c>
    </row>
    <row r="20">
      <c r="A20" s="15" t="inlineStr">
        <is>
          <t>T-bills</t>
        </is>
      </c>
      <c r="B20" s="16">
        <f>SUMIF(Holdings!$D$5:$D$32,$A20,Holdings!$H$5:$H$32)</f>
        <v/>
      </c>
      <c r="C20" s="17">
        <f>IFERROR(B20/SUM(Holdings!$H$5:$H$32),0)</f>
        <v/>
      </c>
      <c r="D20" s="18">
        <f>'Control Center'!$B$9</f>
        <v/>
      </c>
      <c r="E20" s="19">
        <f>ROUND(D20*SUM(Holdings!$H$5:$H$32)-B20,-2)</f>
        <v/>
      </c>
      <c r="F20" s="20">
        <f>SPARKLINE(C20,{"charttype","bar";"max",MAX(D20,C20,0.0001);"color1",IF(ABS(C20-D20)&lt;='Control Center'!$B$16,"#16a34a","#f59e0b")})</f>
        <v/>
      </c>
      <c r="H20" s="15" t="inlineStr">
        <is>
          <t>T-bills</t>
        </is>
      </c>
      <c r="I20" s="16">
        <f>SUMIFS(Holdings!$H$5:$H$32,Holdings!$D$5:$D$32,$H20,Holdings!$B$5:$B$32,"Taxable")</f>
        <v/>
      </c>
      <c r="J20" s="18">
        <f>IFERROR(I20/SUMIF(Holdings!$B$5:$B$32,"Taxable",Holdings!$H$5:$H$32),0)</f>
        <v/>
      </c>
      <c r="K20" s="16">
        <f>SUMIFS(Holdings!$H$5:$H$32,Holdings!$D$5:$D$32,$H20,Holdings!$B$5:$B$32,"Retirement")</f>
        <v/>
      </c>
      <c r="L20" s="18">
        <f>IFERROR(K20/SUMIF(Holdings!$B$5:$B$32,"Retirement",Holdings!$H$5:$H$32),0)</f>
        <v/>
      </c>
      <c r="N20" s="13" t="inlineStr">
        <is>
          <t>T-bills</t>
        </is>
      </c>
      <c r="O20" s="14">
        <f>B20</f>
        <v/>
      </c>
      <c r="P20" s="14">
        <f>D20*SUM(Holdings!$H$5:$H$32)</f>
        <v/>
      </c>
      <c r="Q20" s="14">
        <f>I20</f>
        <v/>
      </c>
      <c r="R20" s="14">
        <f>K20</f>
        <v/>
      </c>
    </row>
    <row r="21">
      <c r="A21" s="15" t="inlineStr">
        <is>
          <t>Satellites</t>
        </is>
      </c>
      <c r="B21" s="16">
        <f>SUMIF(Holdings!$D$5:$D$32,$A21,Holdings!$H$5:$H$32)</f>
        <v/>
      </c>
      <c r="C21" s="17">
        <f>IFERROR(B21/SUM(Holdings!$H$5:$H$32),0)</f>
        <v/>
      </c>
      <c r="D21" s="18">
        <f>'Control Center'!$B$10</f>
        <v/>
      </c>
      <c r="E21" s="19">
        <f>ROUND(D21*SUM(Holdings!$H$5:$H$32)-B21,-2)</f>
        <v/>
      </c>
      <c r="F21" s="20">
        <f>SPARKLINE(C21,{"charttype","bar";"max",MAX(D21,C21,0.0001);"color1",IF(ABS(C21-D21)&lt;='Control Center'!$B$16,"#16a34a","#f59e0b")})</f>
        <v/>
      </c>
      <c r="H21" s="15" t="inlineStr">
        <is>
          <t>Satellites</t>
        </is>
      </c>
      <c r="I21" s="16">
        <f>SUMIFS(Holdings!$H$5:$H$32,Holdings!$D$5:$D$32,$H21,Holdings!$B$5:$B$32,"Taxable")</f>
        <v/>
      </c>
      <c r="J21" s="18">
        <f>IFERROR(I21/SUMIF(Holdings!$B$5:$B$32,"Taxable",Holdings!$H$5:$H$32),0)</f>
        <v/>
      </c>
      <c r="K21" s="16">
        <f>SUMIFS(Holdings!$H$5:$H$32,Holdings!$D$5:$D$32,$H21,Holdings!$B$5:$B$32,"Retirement")</f>
        <v/>
      </c>
      <c r="L21" s="18">
        <f>IFERROR(K21/SUMIF(Holdings!$B$5:$B$32,"Retirement",Holdings!$H$5:$H$32),0)</f>
        <v/>
      </c>
      <c r="N21" s="13" t="inlineStr">
        <is>
          <t>Satellites</t>
        </is>
      </c>
      <c r="O21" s="14">
        <f>B21</f>
        <v/>
      </c>
      <c r="P21" s="14">
        <f>D21*SUM(Holdings!$H$5:$H$32)</f>
        <v/>
      </c>
      <c r="Q21" s="14">
        <f>I21</f>
        <v/>
      </c>
      <c r="R21" s="14">
        <f>K21</f>
        <v/>
      </c>
    </row>
    <row r="22">
      <c r="A22" s="15" t="inlineStr">
        <is>
          <t>Cash</t>
        </is>
      </c>
      <c r="B22" s="16">
        <f>SUMIF(Holdings!$D$5:$D$32,$A22,Holdings!$H$5:$H$32)</f>
        <v/>
      </c>
      <c r="C22" s="17">
        <f>IFERROR(B22/SUM(Holdings!$H$5:$H$32),0)</f>
        <v/>
      </c>
      <c r="D22" s="18">
        <f>'Control Center'!$B$11</f>
        <v/>
      </c>
      <c r="E22" s="19">
        <f>ROUND(D22*SUM(Holdings!$H$5:$H$32)-B22,-2)</f>
        <v/>
      </c>
      <c r="F22" s="20">
        <f>SPARKLINE(C22,{"charttype","bar";"max",MAX(D22,C22,0.0001);"color1",IF(ABS(C22-D22)&lt;='Control Center'!$B$16,"#16a34a","#f59e0b")})</f>
        <v/>
      </c>
      <c r="H22" s="15" t="inlineStr">
        <is>
          <t>Cash</t>
        </is>
      </c>
      <c r="I22" s="16">
        <f>SUMIFS(Holdings!$H$5:$H$32,Holdings!$D$5:$D$32,$H22,Holdings!$B$5:$B$32,"Taxable")</f>
        <v/>
      </c>
      <c r="J22" s="18">
        <f>IFERROR(I22/SUMIF(Holdings!$B$5:$B$32,"Taxable",Holdings!$H$5:$H$32),0)</f>
        <v/>
      </c>
      <c r="K22" s="16">
        <f>SUMIFS(Holdings!$H$5:$H$32,Holdings!$D$5:$D$32,$H22,Holdings!$B$5:$B$32,"Retirement")</f>
        <v/>
      </c>
      <c r="L22" s="18">
        <f>IFERROR(K22/SUMIF(Holdings!$B$5:$B$32,"Retirement",Holdings!$H$5:$H$32),0)</f>
        <v/>
      </c>
      <c r="N22" s="13" t="inlineStr">
        <is>
          <t>Cash</t>
        </is>
      </c>
      <c r="O22" s="14">
        <f>B22</f>
        <v/>
      </c>
      <c r="P22" s="14">
        <f>D22*SUM(Holdings!$H$5:$H$32)</f>
        <v/>
      </c>
      <c r="Q22" s="14">
        <f>I22</f>
        <v/>
      </c>
      <c r="R22" s="14">
        <f>K22</f>
        <v/>
      </c>
    </row>
    <row r="25">
      <c r="A25" s="7" t="inlineStr">
        <is>
          <t>ACCOUNTS</t>
        </is>
      </c>
      <c r="B25" s="8" t="n"/>
      <c r="C25" s="8" t="n"/>
      <c r="D25" s="8" t="n"/>
      <c r="E25" s="8" t="n"/>
      <c r="F25" s="8" t="n"/>
      <c r="H25" s="7" t="inlineStr">
        <is>
          <t>WATCHLIST RIGHT NOW</t>
        </is>
      </c>
      <c r="I25" s="8" t="n"/>
      <c r="J25" s="8" t="n"/>
      <c r="K25" s="8" t="n"/>
      <c r="L25" s="8" t="n"/>
    </row>
    <row r="26">
      <c r="A26" s="12" t="inlineStr">
        <is>
          <t>Account</t>
        </is>
      </c>
      <c r="B26" s="12" t="inlineStr">
        <is>
          <t>Type</t>
        </is>
      </c>
      <c r="C26" s="12" t="inlineStr">
        <is>
          <t>Value</t>
        </is>
      </c>
      <c r="D26" s="12" t="inlineStr">
        <is>
          <t>% of total</t>
        </is>
      </c>
      <c r="E26" s="12" t="inlineStr">
        <is>
          <t>Cash</t>
        </is>
      </c>
      <c r="F26" s="12" t="inlineStr">
        <is>
          <t>Gain $</t>
        </is>
      </c>
      <c r="H26" s="21" t="inlineStr">
        <is>
          <t>In VALUE ZONE</t>
        </is>
      </c>
      <c r="J26" s="22">
        <f>COUNTIF(Watchlist!$K$5:$K$400,"VALUE ZONE")</f>
        <v/>
      </c>
    </row>
    <row r="27">
      <c r="A27" s="23" t="inlineStr">
        <is>
          <t>Brokerage</t>
        </is>
      </c>
      <c r="B27" s="24" t="inlineStr">
        <is>
          <t>Taxable</t>
        </is>
      </c>
      <c r="C27" s="16">
        <f>SUMIF(Holdings!$A$5:$A$32,$A27,Holdings!$H$5:$H$32)</f>
        <v/>
      </c>
      <c r="D27" s="18">
        <f>IFERROR(C27/SUM(Holdings!$H$5:$H$32),0)</f>
        <v/>
      </c>
      <c r="E27" s="16">
        <f>SUMIFS(Holdings!$H$5:$H$32,Holdings!$A$5:$A$32,$A27,Holdings!$D$5:$D$32,"Cash")</f>
        <v/>
      </c>
      <c r="F27" s="16">
        <f>SUMIF(Holdings!$A$5:$A$32,$A27,Holdings!$I$5:$I$32)</f>
        <v/>
      </c>
      <c r="H27" s="21" t="inlineStr">
        <is>
          <t>On WATCH</t>
        </is>
      </c>
      <c r="J27" s="22">
        <f>COUNTIF(Watchlist!$K$5:$K$400,"WATCH")</f>
        <v/>
      </c>
    </row>
    <row r="28">
      <c r="A28" s="23" t="inlineStr">
        <is>
          <t>401(k)</t>
        </is>
      </c>
      <c r="B28" s="24" t="inlineStr">
        <is>
          <t>Retirement</t>
        </is>
      </c>
      <c r="C28" s="16">
        <f>SUMIF(Holdings!$A$5:$A$32,$A28,Holdings!$H$5:$H$32)</f>
        <v/>
      </c>
      <c r="D28" s="18">
        <f>IFERROR(C28/SUM(Holdings!$H$5:$H$32),0)</f>
        <v/>
      </c>
      <c r="E28" s="16">
        <f>SUMIFS(Holdings!$H$5:$H$32,Holdings!$A$5:$A$32,$A28,Holdings!$D$5:$D$32,"Cash")</f>
        <v/>
      </c>
      <c r="F28" s="16">
        <f>SUMIF(Holdings!$A$5:$A$32,$A28,Holdings!$I$5:$I$32)</f>
        <v/>
      </c>
      <c r="H28" s="21" t="inlineStr">
        <is>
          <t>Names tracked</t>
        </is>
      </c>
      <c r="J28" s="22">
        <f>COUNTA(Watchlist!$A$5:$A$400)</f>
        <v/>
      </c>
    </row>
    <row r="29">
      <c r="A29" s="23" t="inlineStr">
        <is>
          <t>Roth IRA</t>
        </is>
      </c>
      <c r="B29" s="24" t="inlineStr">
        <is>
          <t>Retirement</t>
        </is>
      </c>
      <c r="C29" s="16">
        <f>SUMIF(Holdings!$A$5:$A$32,$A29,Holdings!$H$5:$H$32)</f>
        <v/>
      </c>
      <c r="D29" s="18">
        <f>IFERROR(C29/SUM(Holdings!$H$5:$H$32),0)</f>
        <v/>
      </c>
      <c r="E29" s="16">
        <f>SUMIFS(Holdings!$H$5:$H$32,Holdings!$A$5:$A$32,$A29,Holdings!$D$5:$D$32,"Cash")</f>
        <v/>
      </c>
      <c r="F29" s="16">
        <f>SUMIF(Holdings!$A$5:$A$32,$A29,Holdings!$I$5:$I$32)</f>
        <v/>
      </c>
    </row>
    <row r="30">
      <c r="A30" s="23" t="inlineStr">
        <is>
          <t>Twin Turbo sandbox (IBKR)</t>
        </is>
      </c>
      <c r="B30" s="24" t="inlineStr">
        <is>
          <t>Taxable</t>
        </is>
      </c>
      <c r="C30" s="16">
        <f>SUMIF(Holdings!$A$5:$A$32,$A30,Holdings!$H$5:$H$32)</f>
        <v/>
      </c>
      <c r="D30" s="18">
        <f>IFERROR(C30/SUM(Holdings!$H$5:$H$32),0)</f>
        <v/>
      </c>
      <c r="E30" s="16">
        <f>SUMIFS(Holdings!$H$5:$H$32,Holdings!$A$5:$A$32,$A30,Holdings!$D$5:$D$32,"Cash")</f>
        <v/>
      </c>
      <c r="F30" s="16">
        <f>SUMIF(Holdings!$A$5:$A$32,$A30,Holdings!$I$5:$I$32)</f>
        <v/>
      </c>
    </row>
  </sheetData>
  <mergeCells count="5">
    <mergeCell ref="A10:L10"/>
    <mergeCell ref="A11:L11"/>
    <mergeCell ref="A13:L13"/>
    <mergeCell ref="A9:L9"/>
    <mergeCell ref="A12:L12"/>
  </mergeCells>
  <conditionalFormatting sqref="E17:E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44" customWidth="1" min="4" max="4"/>
  </cols>
  <sheetData>
    <row r="1">
      <c r="A1" s="25" t="inlineStr">
        <is>
          <t>CONTROL CENTER: the dials your agent works from</t>
        </is>
      </c>
    </row>
    <row r="2">
      <c r="A2" s="2" t="inlineStr">
        <is>
          <t>Yellow cells are yours to change (or ask your agent to change them; it should show the impact first). Everything on the Dashboard is measured against this page.</t>
        </is>
      </c>
    </row>
    <row r="4">
      <c r="A4" s="7" t="inlineStr">
        <is>
          <t>1 · TARGET MIX (household)</t>
        </is>
      </c>
      <c r="B4" s="8" t="n"/>
      <c r="C4" s="8" t="n"/>
      <c r="D4" s="8" t="n"/>
    </row>
    <row r="5">
      <c r="A5" s="12" t="inlineStr">
        <is>
          <t>Sleeve</t>
        </is>
      </c>
      <c r="B5" s="12" t="inlineStr">
        <is>
          <t>Target %</t>
        </is>
      </c>
      <c r="C5" s="12" t="inlineStr">
        <is>
          <t>What's in it</t>
        </is>
      </c>
      <c r="D5" s="12" t="inlineStr">
        <is>
          <t>If you raise it…</t>
        </is>
      </c>
    </row>
    <row r="6">
      <c r="A6" s="15" t="inlineStr">
        <is>
          <t>US</t>
        </is>
      </c>
      <c r="B6" s="26" t="n">
        <v>0.44</v>
      </c>
      <c r="C6" s="27" t="inlineStr">
        <is>
          <t>US stock funds + value sleeve</t>
        </is>
      </c>
      <c r="D6" s="27" t="inlineStr">
        <is>
          <t>More growth, deeper drops</t>
        </is>
      </c>
    </row>
    <row r="7">
      <c r="A7" s="15" t="inlineStr">
        <is>
          <t>Intl</t>
        </is>
      </c>
      <c r="B7" s="26" t="n">
        <v>0.25</v>
      </c>
      <c r="C7" s="27" t="inlineStr">
        <is>
          <t>International stock funds</t>
        </is>
      </c>
      <c r="D7" s="27" t="inlineStr">
        <is>
          <t>More diversification away from US mega-caps</t>
        </is>
      </c>
    </row>
    <row r="8">
      <c r="A8" s="15" t="inlineStr">
        <is>
          <t>Gold</t>
        </is>
      </c>
      <c r="B8" s="26" t="n">
        <v>0.06</v>
      </c>
      <c r="C8" s="27" t="inlineStr">
        <is>
          <t>Gold ETF</t>
        </is>
      </c>
      <c r="D8" s="27" t="inlineStr">
        <is>
          <t>Better crash cushion, low long-run return</t>
        </is>
      </c>
    </row>
    <row r="9">
      <c r="A9" s="15" t="inlineStr">
        <is>
          <t>T-bills</t>
        </is>
      </c>
      <c r="B9" s="26" t="n">
        <v>0.15</v>
      </c>
      <c r="C9" s="27" t="inlineStr">
        <is>
          <t>0-3 month Treasury bills</t>
        </is>
      </c>
      <c r="D9" s="27" t="inlineStr">
        <is>
          <t>Safer, lower return (~T-bill yield)</t>
        </is>
      </c>
    </row>
    <row r="10">
      <c r="A10" s="15" t="inlineStr">
        <is>
          <t>Satellites</t>
        </is>
      </c>
      <c r="B10" s="26" t="n">
        <v>0.1</v>
      </c>
      <c r="C10" s="27" t="inlineStr">
        <is>
          <t>High-upside bets: bitcoin, semis, agent sandboxes</t>
        </is>
      </c>
      <c r="D10" s="27" t="inlineStr">
        <is>
          <t>More upside and much bigger swings</t>
        </is>
      </c>
    </row>
    <row r="11">
      <c r="A11" s="15" t="inlineStr">
        <is>
          <t>Cash</t>
        </is>
      </c>
      <c r="B11" s="26" t="n">
        <v>0</v>
      </c>
      <c r="C11" s="27" t="inlineStr">
        <is>
          <t>Uninvested cash</t>
        </is>
      </c>
      <c r="D11" s="27" t="inlineStr">
        <is>
          <t>Cash drag</t>
        </is>
      </c>
    </row>
    <row r="12">
      <c r="A12" s="21" t="inlineStr">
        <is>
          <t>Total (must be 100%)</t>
        </is>
      </c>
      <c r="B12" s="28">
        <f>SUM(B6:B11)</f>
        <v/>
      </c>
    </row>
    <row r="14">
      <c r="A14" s="7" t="inlineStr">
        <is>
          <t>2 · RULES &amp; DIALS</t>
        </is>
      </c>
      <c r="B14" s="8" t="n"/>
      <c r="C14" s="8" t="n"/>
      <c r="D14" s="8" t="n"/>
    </row>
    <row r="15">
      <c r="A15" s="12" t="inlineStr">
        <is>
          <t>Dial</t>
        </is>
      </c>
      <c r="B15" s="12" t="inlineStr">
        <is>
          <t>Current</t>
        </is>
      </c>
      <c r="C15" s="12" t="inlineStr">
        <is>
          <t>What it controls</t>
        </is>
      </c>
      <c r="D15" s="12" t="inlineStr">
        <is>
          <t>Notes</t>
        </is>
      </c>
    </row>
    <row r="16">
      <c r="A16" s="29" t="inlineStr">
        <is>
          <t>Drift band (pts)</t>
        </is>
      </c>
      <c r="B16" s="30" t="n">
        <v>0.05</v>
      </c>
      <c r="C16" s="27" t="inlineStr">
        <is>
          <t>If a sleeve is this far off target, the daily note offers 2 options: sell vs fund from new money</t>
        </is>
      </c>
      <c r="D16" s="27" t="inlineStr"/>
    </row>
    <row r="17">
      <c r="A17" s="29" t="inlineStr">
        <is>
          <t>Value zone: min drop from 52w high</t>
        </is>
      </c>
      <c r="B17" s="30" t="n">
        <v>0.3</v>
      </c>
      <c r="C17" s="27" t="inlineStr">
        <is>
          <t>Watchlist/Value Sleeve flag VALUE ZONE when at least this far below the 52-week high…</t>
        </is>
      </c>
      <c r="D17" s="27" t="inlineStr"/>
    </row>
    <row r="18">
      <c r="A18" s="29" t="inlineStr">
        <is>
          <t>Value zone: max P/E</t>
        </is>
      </c>
      <c r="B18" s="31" t="n">
        <v>20</v>
      </c>
      <c r="C18" s="27" t="inlineStr">
        <is>
          <t>…AND the P/E is at or below this (ETFs flag on price only)</t>
        </is>
      </c>
      <c r="D18" s="27" t="inlineStr"/>
    </row>
    <row r="19">
      <c r="A19" s="29" t="inlineStr">
        <is>
          <t>Watch: min drop from 52w high</t>
        </is>
      </c>
      <c r="B19" s="30" t="n">
        <v>0.2</v>
      </c>
      <c r="C19" s="27" t="inlineStr">
        <is>
          <t>WATCH flag threshold</t>
        </is>
      </c>
      <c r="D19" s="27" t="inlineStr"/>
    </row>
    <row r="20">
      <c r="A20" s="29" t="inlineStr">
        <is>
          <t>Loss-harvest trigger</t>
        </is>
      </c>
      <c r="B20" s="30" t="n">
        <v>-0.2</v>
      </c>
      <c r="C20" s="27" t="inlineStr">
        <is>
          <t>Value Sleeve flags HARVEST? when a name is down this much</t>
        </is>
      </c>
      <c r="D20" s="27" t="inlineStr">
        <is>
          <t>Mind the 30-day wash-sale rule across ALL accounts</t>
        </is>
      </c>
    </row>
    <row r="21">
      <c r="A21" s="29" t="inlineStr">
        <is>
          <t>Harvest: min $ loss</t>
        </is>
      </c>
      <c r="B21" s="32" t="n">
        <v>300</v>
      </c>
      <c r="C21" s="27" t="inlineStr">
        <is>
          <t>tools/harvest_check.py only flags a taxable holding when the loss is at least this many dollars</t>
        </is>
      </c>
      <c r="D21" s="27" t="inlineStr">
        <is>
          <t>Small losses aren't worth 31 days out of the position</t>
        </is>
      </c>
    </row>
    <row r="22">
      <c r="A22" s="29" t="inlineStr">
        <is>
          <t>Dip rule: S&amp;P drop from high</t>
        </is>
      </c>
      <c r="B22" s="30" t="n">
        <v>0.05</v>
      </c>
      <c r="C22" s="27" t="inlineStr">
        <is>
          <t>If the S&amp;P closes this far below its high, the next planned buy date is pulled forward</t>
        </is>
      </c>
      <c r="D22" s="27" t="inlineStr">
        <is>
          <t>One buy date per drop</t>
        </is>
      </c>
    </row>
    <row r="23">
      <c r="A23" s="29" t="inlineStr">
        <is>
          <t>Satellite cap per name</t>
        </is>
      </c>
      <c r="B23" s="32" t="n">
        <v>5000</v>
      </c>
      <c r="C23" s="27" t="inlineStr">
        <is>
          <t>Max $ in any one satellite</t>
        </is>
      </c>
      <c r="D23" s="27" t="inlineStr"/>
    </row>
    <row r="24">
      <c r="A24" s="29" t="inlineStr">
        <is>
          <t>Exclusions</t>
        </is>
      </c>
      <c r="B24" s="31" t="inlineStr">
        <is>
          <t>e.g. sectors you never want</t>
        </is>
      </c>
      <c r="C24" s="27" t="inlineStr">
        <is>
          <t>Agent never recommends these</t>
        </is>
      </c>
      <c r="D24" s="27" t="inlineStr"/>
    </row>
    <row r="25">
      <c r="A25" s="29" t="inlineStr">
        <is>
          <t>Email recipients</t>
        </is>
      </c>
      <c r="B25" s="31" t="inlineStr">
        <is>
          <t>you@example.com</t>
        </is>
      </c>
      <c r="C25" s="27" t="inlineStr">
        <is>
          <t>Daily + weekly notes go only here</t>
        </is>
      </c>
      <c r="D25" s="27" t="inlineStr"/>
    </row>
    <row r="28">
      <c r="A28" s="7" t="inlineStr">
        <is>
          <t>3 · GLOSSARY</t>
        </is>
      </c>
      <c r="B28" s="8" t="n"/>
      <c r="C28" s="8" t="n"/>
      <c r="D28" s="8" t="n"/>
    </row>
    <row r="29" ht="28" customHeight="1">
      <c r="A29" s="15" t="inlineStr">
        <is>
          <t>Sleeve</t>
        </is>
      </c>
      <c r="B29" s="27" t="inlineStr">
        <is>
          <t>A bucket of the portfolio with one job (US stocks, international, gold, T-bills, satellites, cash).</t>
        </is>
      </c>
      <c r="C29" s="33" t="n"/>
      <c r="D29" s="33" t="n"/>
    </row>
    <row r="30" ht="28" customHeight="1">
      <c r="A30" s="15" t="inlineStr">
        <is>
          <t>Drift</t>
        </is>
      </c>
      <c r="B30" s="27" t="inlineStr">
        <is>
          <t>How far a sleeve has moved away from its target % because prices moved.</t>
        </is>
      </c>
      <c r="C30" s="33" t="n"/>
      <c r="D30" s="33" t="n"/>
    </row>
    <row r="31" ht="28" customHeight="1">
      <c r="A31" s="15" t="inlineStr">
        <is>
          <t>P/E</t>
        </is>
      </c>
      <c r="B31" s="27" t="inlineStr">
        <is>
          <t>Price ÷ yearly earnings per share. Lower = cheaper (compare to the stock's own history).</t>
        </is>
      </c>
      <c r="C31" s="33" t="n"/>
      <c r="D31" s="33" t="n"/>
    </row>
    <row r="32" ht="28" customHeight="1">
      <c r="A32" s="15" t="inlineStr">
        <is>
          <t>52w high</t>
        </is>
      </c>
      <c r="B32" s="27" t="inlineStr">
        <is>
          <t>Highest price in the last year. 'Off high' = how far below that peak.</t>
        </is>
      </c>
      <c r="C32" s="33" t="n"/>
      <c r="D32" s="33" t="n"/>
    </row>
    <row r="33" ht="28" customHeight="1">
      <c r="A33" s="15" t="inlineStr">
        <is>
          <t>Tax-loss harvest</t>
        </is>
      </c>
      <c r="B33" s="27" t="inlineStr">
        <is>
          <t>Selling a loser to book a loss that offsets gains you already took. No rebuy of the same thing within 30 days in any account.</t>
        </is>
      </c>
      <c r="C33" s="33" t="n"/>
      <c r="D33" s="33" t="n"/>
    </row>
    <row r="34" ht="28" customHeight="1">
      <c r="A34" s="15" t="inlineStr">
        <is>
          <t>Satellite</t>
        </is>
      </c>
      <c r="B34" s="27" t="inlineStr">
        <is>
          <t>A small, high-upside bet outside the core.</t>
        </is>
      </c>
      <c r="C34" s="33" t="n"/>
      <c r="D34" s="33" t="n"/>
    </row>
  </sheetData>
  <mergeCells count="6">
    <mergeCell ref="B33:D33"/>
    <mergeCell ref="B31:D31"/>
    <mergeCell ref="B32:D32"/>
    <mergeCell ref="B30:D30"/>
    <mergeCell ref="B29:D29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2" customWidth="1" min="9" max="9"/>
    <col width="9" customWidth="1" min="10" max="10"/>
    <col width="40" customWidth="1" min="11" max="11"/>
  </cols>
  <sheetData>
    <row r="1">
      <c r="A1" s="25" t="inlineStr">
        <is>
          <t>HOLDINGS: every position in every account</t>
        </is>
      </c>
    </row>
    <row r="2">
      <c r="A2" s="2" t="inlineStr">
        <is>
          <t>Yellow cells (shares, avg cost) are the only hand-entered numbers; update them from a broker screenshot. CASH / CRYPTO / sandbox rows: shares = dollar value. Prices are live.</t>
        </is>
      </c>
    </row>
    <row r="4">
      <c r="A4" s="12" t="inlineStr">
        <is>
          <t>Account</t>
        </is>
      </c>
      <c r="B4" s="12" t="inlineStr">
        <is>
          <t>Type</t>
        </is>
      </c>
      <c r="C4" s="12" t="inlineStr">
        <is>
          <t>Ticker</t>
        </is>
      </c>
      <c r="D4" s="12" t="inlineStr">
        <is>
          <t>Sleeve</t>
        </is>
      </c>
      <c r="E4" s="12" t="inlineStr">
        <is>
          <t>Shares</t>
        </is>
      </c>
      <c r="F4" s="12" t="inlineStr">
        <is>
          <t>Avg cost</t>
        </is>
      </c>
      <c r="G4" s="12" t="inlineStr">
        <is>
          <t>Price</t>
        </is>
      </c>
      <c r="H4" s="12" t="inlineStr">
        <is>
          <t>Value</t>
        </is>
      </c>
      <c r="I4" s="12" t="inlineStr">
        <is>
          <t>Gain $</t>
        </is>
      </c>
      <c r="J4" s="12" t="inlineStr">
        <is>
          <t>Gain %</t>
        </is>
      </c>
      <c r="K4" s="12" t="inlineStr">
        <is>
          <t>Note</t>
        </is>
      </c>
    </row>
    <row r="5">
      <c r="A5" s="23" t="inlineStr">
        <is>
          <t>Brokerage</t>
        </is>
      </c>
      <c r="B5" s="23" t="inlineStr">
        <is>
          <t>Taxable</t>
        </is>
      </c>
      <c r="C5" s="15" t="inlineStr">
        <is>
          <t>VTI</t>
        </is>
      </c>
      <c r="D5" s="23" t="inlineStr">
        <is>
          <t>US</t>
        </is>
      </c>
      <c r="E5" s="34" t="n">
        <v>40</v>
      </c>
      <c r="F5" s="35" t="n">
        <v>280</v>
      </c>
      <c r="G5" s="36">
        <f>IF($C5="",,IF(OR($C5="CASH",$C5="CRYPTO",ISNUMBER(SEARCH("-",$C5))),1,IFERROR(GOOGLEFINANCE($C5,"price"),300.0)))</f>
        <v/>
      </c>
      <c r="H5" s="16">
        <f>IF($C5="",,ROUND(N($E5)*N($G5),2))</f>
        <v/>
      </c>
      <c r="I5" s="16">
        <f>IF(N($F5)=0,,ROUND($H5-$E5*$F5,2))</f>
        <v/>
      </c>
      <c r="J5" s="17">
        <f>IF(N($F5)=0,,$G5/$F5-1)</f>
        <v/>
      </c>
      <c r="K5" s="37" t="inlineStr">
        <is>
          <t>Core US</t>
        </is>
      </c>
    </row>
    <row r="6">
      <c r="A6" s="23" t="inlineStr">
        <is>
          <t>Brokerage</t>
        </is>
      </c>
      <c r="B6" s="23" t="inlineStr">
        <is>
          <t>Taxable</t>
        </is>
      </c>
      <c r="C6" s="15" t="inlineStr">
        <is>
          <t>VXUS</t>
        </is>
      </c>
      <c r="D6" s="23" t="inlineStr">
        <is>
          <t>Intl</t>
        </is>
      </c>
      <c r="E6" s="34" t="n">
        <v>80</v>
      </c>
      <c r="F6" s="35" t="n">
        <v>60</v>
      </c>
      <c r="G6" s="36">
        <f>IF($C6="",,IF(OR($C6="CASH",$C6="CRYPTO",ISNUMBER(SEARCH("-",$C6))),1,IFERROR(GOOGLEFINANCE($C6,"price"),65.0)))</f>
        <v/>
      </c>
      <c r="H6" s="16">
        <f>IF($C6="",,ROUND(N($E6)*N($G6),2))</f>
        <v/>
      </c>
      <c r="I6" s="16">
        <f>IF(N($F6)=0,,ROUND($H6-$E6*$F6,2))</f>
        <v/>
      </c>
      <c r="J6" s="17">
        <f>IF(N($F6)=0,,$G6/$F6-1)</f>
        <v/>
      </c>
      <c r="K6" s="37" t="inlineStr">
        <is>
          <t>Core international</t>
        </is>
      </c>
    </row>
    <row r="7">
      <c r="A7" s="23" t="inlineStr">
        <is>
          <t>Brokerage</t>
        </is>
      </c>
      <c r="B7" s="23" t="inlineStr">
        <is>
          <t>Taxable</t>
        </is>
      </c>
      <c r="C7" s="15" t="inlineStr">
        <is>
          <t>SGOV</t>
        </is>
      </c>
      <c r="D7" s="23" t="inlineStr">
        <is>
          <t>T-bills</t>
        </is>
      </c>
      <c r="E7" s="34" t="n">
        <v>50</v>
      </c>
      <c r="F7" s="35" t="n">
        <v>100</v>
      </c>
      <c r="G7" s="36">
        <f>IF($C7="",,IF(OR($C7="CASH",$C7="CRYPTO",ISNUMBER(SEARCH("-",$C7))),1,IFERROR(GOOGLEFINANCE($C7,"price"),100.0)))</f>
        <v/>
      </c>
      <c r="H7" s="16">
        <f>IF($C7="",,ROUND(N($E7)*N($G7),2))</f>
        <v/>
      </c>
      <c r="I7" s="16">
        <f>IF(N($F7)=0,,ROUND($H7-$E7*$F7,2))</f>
        <v/>
      </c>
      <c r="J7" s="17">
        <f>IF(N($F7)=0,,$G7/$F7-1)</f>
        <v/>
      </c>
      <c r="K7" s="37" t="inlineStr">
        <is>
          <t>Dry powder</t>
        </is>
      </c>
    </row>
    <row r="8">
      <c r="A8" s="23" t="inlineStr">
        <is>
          <t>Brokerage</t>
        </is>
      </c>
      <c r="B8" s="23" t="inlineStr">
        <is>
          <t>Taxable</t>
        </is>
      </c>
      <c r="C8" s="15" t="inlineStr">
        <is>
          <t>AAPL</t>
        </is>
      </c>
      <c r="D8" s="23" t="inlineStr">
        <is>
          <t>US</t>
        </is>
      </c>
      <c r="E8" s="34" t="n">
        <v>5</v>
      </c>
      <c r="F8" s="35" t="n">
        <v>210</v>
      </c>
      <c r="G8" s="36">
        <f>IF($C8="",,IF(OR($C8="CASH",$C8="CRYPTO",ISNUMBER(SEARCH("-",$C8))),1,IFERROR(GOOGLEFINANCE($C8,"price"),230.0)))</f>
        <v/>
      </c>
      <c r="H8" s="16">
        <f>IF($C8="",,ROUND(N($E8)*N($G8),2))</f>
        <v/>
      </c>
      <c r="I8" s="16">
        <f>IF(N($F8)=0,,ROUND($H8-$E8*$F8,2))</f>
        <v/>
      </c>
      <c r="J8" s="17">
        <f>IF(N($F8)=0,,$G8/$F8-1)</f>
        <v/>
      </c>
      <c r="K8" s="37" t="inlineStr">
        <is>
          <t>Value sleeve example</t>
        </is>
      </c>
    </row>
    <row r="9">
      <c r="A9" s="23" t="inlineStr">
        <is>
          <t>Brokerage</t>
        </is>
      </c>
      <c r="B9" s="23" t="inlineStr">
        <is>
          <t>Taxable</t>
        </is>
      </c>
      <c r="C9" s="15" t="inlineStr">
        <is>
          <t>CASH</t>
        </is>
      </c>
      <c r="D9" s="23" t="inlineStr">
        <is>
          <t>Cash</t>
        </is>
      </c>
      <c r="E9" s="38" t="n">
        <v>650</v>
      </c>
      <c r="F9" s="35" t="n"/>
      <c r="G9" s="36">
        <f>IF($C9="",,IF(OR($C9="CASH",$C9="CRYPTO",ISNUMBER(SEARCH("-",$C9))),1,IFERROR(GOOGLEFINANCE($C9,"price"),1.0)))</f>
        <v/>
      </c>
      <c r="H9" s="16">
        <f>IF($C9="",,ROUND(N($E9)*N($G9),2))</f>
        <v/>
      </c>
      <c r="I9" s="16">
        <f>IF(N($F9)=0,,ROUND($H9-$E9*$F9,2))</f>
        <v/>
      </c>
      <c r="J9" s="17">
        <f>IF(N($F9)=0,,$G9/$F9-1)</f>
        <v/>
      </c>
      <c r="K9" s="37" t="inlineStr"/>
    </row>
    <row r="10">
      <c r="A10" s="23" t="inlineStr">
        <is>
          <t>401(k)</t>
        </is>
      </c>
      <c r="B10" s="23" t="inlineStr">
        <is>
          <t>Retirement</t>
        </is>
      </c>
      <c r="C10" s="15" t="inlineStr">
        <is>
          <t>VTI</t>
        </is>
      </c>
      <c r="D10" s="23" t="inlineStr">
        <is>
          <t>US</t>
        </is>
      </c>
      <c r="E10" s="34" t="n">
        <v>30</v>
      </c>
      <c r="F10" s="35" t="n">
        <v>260</v>
      </c>
      <c r="G10" s="36">
        <f>IF($C10="",,IF(OR($C10="CASH",$C10="CRYPTO",ISNUMBER(SEARCH("-",$C10))),1,IFERROR(GOOGLEFINANCE($C10,"price"),300.0)))</f>
        <v/>
      </c>
      <c r="H10" s="16">
        <f>IF($C10="",,ROUND(N($E10)*N($G10),2))</f>
        <v/>
      </c>
      <c r="I10" s="16">
        <f>IF(N($F10)=0,,ROUND($H10-$E10*$F10,2))</f>
        <v/>
      </c>
      <c r="J10" s="17">
        <f>IF(N($F10)=0,,$G10/$F10-1)</f>
        <v/>
      </c>
      <c r="K10" s="37" t="inlineStr"/>
    </row>
    <row r="11">
      <c r="A11" s="23" t="inlineStr">
        <is>
          <t>401(k)</t>
        </is>
      </c>
      <c r="B11" s="23" t="inlineStr">
        <is>
          <t>Retirement</t>
        </is>
      </c>
      <c r="C11" s="15" t="inlineStr">
        <is>
          <t>VXUS</t>
        </is>
      </c>
      <c r="D11" s="23" t="inlineStr">
        <is>
          <t>Intl</t>
        </is>
      </c>
      <c r="E11" s="34" t="n">
        <v>60</v>
      </c>
      <c r="F11" s="35" t="n">
        <v>58</v>
      </c>
      <c r="G11" s="36">
        <f>IF($C11="",,IF(OR($C11="CASH",$C11="CRYPTO",ISNUMBER(SEARCH("-",$C11))),1,IFERROR(GOOGLEFINANCE($C11,"price"),65.0)))</f>
        <v/>
      </c>
      <c r="H11" s="16">
        <f>IF($C11="",,ROUND(N($E11)*N($G11),2))</f>
        <v/>
      </c>
      <c r="I11" s="16">
        <f>IF(N($F11)=0,,ROUND($H11-$E11*$F11,2))</f>
        <v/>
      </c>
      <c r="J11" s="17">
        <f>IF(N($F11)=0,,$G11/$F11-1)</f>
        <v/>
      </c>
      <c r="K11" s="37" t="inlineStr"/>
    </row>
    <row r="12">
      <c r="A12" s="23" t="inlineStr">
        <is>
          <t>401(k)</t>
        </is>
      </c>
      <c r="B12" s="23" t="inlineStr">
        <is>
          <t>Retirement</t>
        </is>
      </c>
      <c r="C12" s="15" t="inlineStr">
        <is>
          <t>GLDM</t>
        </is>
      </c>
      <c r="D12" s="23" t="inlineStr">
        <is>
          <t>Gold</t>
        </is>
      </c>
      <c r="E12" s="34" t="n">
        <v>40</v>
      </c>
      <c r="F12" s="35" t="n">
        <v>55</v>
      </c>
      <c r="G12" s="36">
        <f>IF($C12="",,IF(OR($C12="CASH",$C12="CRYPTO",ISNUMBER(SEARCH("-",$C12))),1,IFERROR(GOOGLEFINANCE($C12,"price"),62.5)))</f>
        <v/>
      </c>
      <c r="H12" s="16">
        <f>IF($C12="",,ROUND(N($E12)*N($G12),2))</f>
        <v/>
      </c>
      <c r="I12" s="16">
        <f>IF(N($F12)=0,,ROUND($H12-$E12*$F12,2))</f>
        <v/>
      </c>
      <c r="J12" s="17">
        <f>IF(N($F12)=0,,$G12/$F12-1)</f>
        <v/>
      </c>
      <c r="K12" s="37" t="inlineStr"/>
    </row>
    <row r="13">
      <c r="A13" s="23" t="inlineStr">
        <is>
          <t>401(k)</t>
        </is>
      </c>
      <c r="B13" s="23" t="inlineStr">
        <is>
          <t>Retirement</t>
        </is>
      </c>
      <c r="C13" s="15" t="inlineStr">
        <is>
          <t>SGOV</t>
        </is>
      </c>
      <c r="D13" s="23" t="inlineStr">
        <is>
          <t>T-bills</t>
        </is>
      </c>
      <c r="E13" s="34" t="n">
        <v>25</v>
      </c>
      <c r="F13" s="35" t="n">
        <v>100</v>
      </c>
      <c r="G13" s="36">
        <f>IF($C13="",,IF(OR($C13="CASH",$C13="CRYPTO",ISNUMBER(SEARCH("-",$C13))),1,IFERROR(GOOGLEFINANCE($C13,"price"),100.0)))</f>
        <v/>
      </c>
      <c r="H13" s="16">
        <f>IF($C13="",,ROUND(N($E13)*N($G13),2))</f>
        <v/>
      </c>
      <c r="I13" s="16">
        <f>IF(N($F13)=0,,ROUND($H13-$E13*$F13,2))</f>
        <v/>
      </c>
      <c r="J13" s="17">
        <f>IF(N($F13)=0,,$G13/$F13-1)</f>
        <v/>
      </c>
      <c r="K13" s="37" t="inlineStr"/>
    </row>
    <row r="14">
      <c r="A14" s="23" t="inlineStr">
        <is>
          <t>401(k)</t>
        </is>
      </c>
      <c r="B14" s="23" t="inlineStr">
        <is>
          <t>Retirement</t>
        </is>
      </c>
      <c r="C14" s="15" t="inlineStr">
        <is>
          <t>CASH</t>
        </is>
      </c>
      <c r="D14" s="23" t="inlineStr">
        <is>
          <t>Cash</t>
        </is>
      </c>
      <c r="E14" s="38" t="n">
        <v>100</v>
      </c>
      <c r="F14" s="35" t="n"/>
      <c r="G14" s="36">
        <f>IF($C14="",,IF(OR($C14="CASH",$C14="CRYPTO",ISNUMBER(SEARCH("-",$C14))),1,IFERROR(GOOGLEFINANCE($C14,"price"),1.0)))</f>
        <v/>
      </c>
      <c r="H14" s="16">
        <f>IF($C14="",,ROUND(N($E14)*N($G14),2))</f>
        <v/>
      </c>
      <c r="I14" s="16">
        <f>IF(N($F14)=0,,ROUND($H14-$E14*$F14,2))</f>
        <v/>
      </c>
      <c r="J14" s="17">
        <f>IF(N($F14)=0,,$G14/$F14-1)</f>
        <v/>
      </c>
      <c r="K14" s="37" t="inlineStr"/>
    </row>
    <row r="15">
      <c r="A15" s="23" t="inlineStr">
        <is>
          <t>Roth IRA</t>
        </is>
      </c>
      <c r="B15" s="23" t="inlineStr">
        <is>
          <t>Retirement</t>
        </is>
      </c>
      <c r="C15" s="15" t="inlineStr">
        <is>
          <t>VTI</t>
        </is>
      </c>
      <c r="D15" s="23" t="inlineStr">
        <is>
          <t>US</t>
        </is>
      </c>
      <c r="E15" s="34" t="n">
        <v>10</v>
      </c>
      <c r="F15" s="35" t="n">
        <v>270</v>
      </c>
      <c r="G15" s="36">
        <f>IF($C15="",,IF(OR($C15="CASH",$C15="CRYPTO",ISNUMBER(SEARCH("-",$C15))),1,IFERROR(GOOGLEFINANCE($C15,"price"),300.0)))</f>
        <v/>
      </c>
      <c r="H15" s="16">
        <f>IF($C15="",,ROUND(N($E15)*N($G15),2))</f>
        <v/>
      </c>
      <c r="I15" s="16">
        <f>IF(N($F15)=0,,ROUND($H15-$E15*$F15,2))</f>
        <v/>
      </c>
      <c r="J15" s="17">
        <f>IF(N($F15)=0,,$G15/$F15-1)</f>
        <v/>
      </c>
      <c r="K15" s="37" t="inlineStr"/>
    </row>
    <row r="16">
      <c r="A16" s="23" t="inlineStr">
        <is>
          <t>Roth IRA</t>
        </is>
      </c>
      <c r="B16" s="23" t="inlineStr">
        <is>
          <t>Retirement</t>
        </is>
      </c>
      <c r="C16" s="15" t="inlineStr">
        <is>
          <t>IBIT</t>
        </is>
      </c>
      <c r="D16" s="23" t="inlineStr">
        <is>
          <t>Satellites</t>
        </is>
      </c>
      <c r="E16" s="34" t="n">
        <v>40</v>
      </c>
      <c r="F16" s="35" t="n">
        <v>45</v>
      </c>
      <c r="G16" s="36">
        <f>IF($C16="",,IF(OR($C16="CASH",$C16="CRYPTO",ISNUMBER(SEARCH("-",$C16))),1,IFERROR(GOOGLEFINANCE($C16,"price"),50.0)))</f>
        <v/>
      </c>
      <c r="H16" s="16">
        <f>IF($C16="",,ROUND(N($E16)*N($G16),2))</f>
        <v/>
      </c>
      <c r="I16" s="16">
        <f>IF(N($F16)=0,,ROUND($H16-$E16*$F16,2))</f>
        <v/>
      </c>
      <c r="J16" s="17">
        <f>IF(N($F16)=0,,$G16/$F16-1)</f>
        <v/>
      </c>
      <c r="K16" s="37" t="inlineStr">
        <is>
          <t>Satellite example</t>
        </is>
      </c>
    </row>
    <row r="17">
      <c r="A17" s="23" t="inlineStr">
        <is>
          <t>Twin Turbo sandbox (IBKR)</t>
        </is>
      </c>
      <c r="B17" s="23" t="inlineStr">
        <is>
          <t>Taxable</t>
        </is>
      </c>
      <c r="C17" s="15" t="inlineStr">
        <is>
          <t>TWIN-TURBO</t>
        </is>
      </c>
      <c r="D17" s="23" t="inlineStr">
        <is>
          <t>Satellites</t>
        </is>
      </c>
      <c r="E17" s="38" t="n">
        <v>3000</v>
      </c>
      <c r="F17" s="35" t="n"/>
      <c r="G17" s="36">
        <f>IF($C17="",,IF(OR($C17="CASH",$C17="CRYPTO",ISNUMBER(SEARCH("-",$C17))),1,IFERROR(GOOGLEFINANCE($C17,"price"),1.0)))</f>
        <v/>
      </c>
      <c r="H17" s="16">
        <f>IF($C17="",,ROUND(N($E17)*N($G17),2))</f>
        <v/>
      </c>
      <c r="I17" s="16">
        <f>IF(N($F17)=0,,ROUND($H17-$E17*$F17,2))</f>
        <v/>
      </c>
      <c r="J17" s="17">
        <f>IF(N($F17)=0,,$G17/$F17-1)</f>
        <v/>
      </c>
      <c r="K17" s="37" t="inlineStr">
        <is>
          <t>Momentum agent sandbox: value only (see Twin Turbo repo)</t>
        </is>
      </c>
    </row>
    <row r="18">
      <c r="A18" s="23" t="n"/>
      <c r="B18" s="23" t="n"/>
      <c r="C18" s="23" t="n"/>
      <c r="D18" s="23" t="n"/>
      <c r="E18" s="39" t="n"/>
      <c r="F18" s="39" t="n"/>
      <c r="G18" s="36">
        <f>IF($C18="",,IF(OR($C18="CASH",$C18="CRYPTO",ISNUMBER(SEARCH("-",$C18))),1,IFERROR(GOOGLEFINANCE($C18,"price"),0)))</f>
        <v/>
      </c>
      <c r="H18" s="16">
        <f>IF($C18="",,ROUND(N($E18)*N($G18),2))</f>
        <v/>
      </c>
      <c r="I18" s="16">
        <f>IF(N($F18)=0,,ROUND($H18-$E18*$F18,2))</f>
        <v/>
      </c>
      <c r="J18" s="17">
        <f>IF(N($F18)=0,,$G18/$F18-1)</f>
        <v/>
      </c>
    </row>
    <row r="19">
      <c r="A19" s="23" t="n"/>
      <c r="B19" s="23" t="n"/>
      <c r="C19" s="23" t="n"/>
      <c r="D19" s="23" t="n"/>
      <c r="E19" s="39" t="n"/>
      <c r="F19" s="39" t="n"/>
      <c r="G19" s="36">
        <f>IF($C19="",,IF(OR($C19="CASH",$C19="CRYPTO",ISNUMBER(SEARCH("-",$C19))),1,IFERROR(GOOGLEFINANCE($C19,"price"),0)))</f>
        <v/>
      </c>
      <c r="H19" s="16">
        <f>IF($C19="",,ROUND(N($E19)*N($G19),2))</f>
        <v/>
      </c>
      <c r="I19" s="16">
        <f>IF(N($F19)=0,,ROUND($H19-$E19*$F19,2))</f>
        <v/>
      </c>
      <c r="J19" s="17">
        <f>IF(N($F19)=0,,$G19/$F19-1)</f>
        <v/>
      </c>
    </row>
    <row r="20">
      <c r="A20" s="23" t="n"/>
      <c r="B20" s="23" t="n"/>
      <c r="C20" s="23" t="n"/>
      <c r="D20" s="23" t="n"/>
      <c r="E20" s="39" t="n"/>
      <c r="F20" s="39" t="n"/>
      <c r="G20" s="36">
        <f>IF($C20="",,IF(OR($C20="CASH",$C20="CRYPTO",ISNUMBER(SEARCH("-",$C20))),1,IFERROR(GOOGLEFINANCE($C20,"price"),0)))</f>
        <v/>
      </c>
      <c r="H20" s="16">
        <f>IF($C20="",,ROUND(N($E20)*N($G20),2))</f>
        <v/>
      </c>
      <c r="I20" s="16">
        <f>IF(N($F20)=0,,ROUND($H20-$E20*$F20,2))</f>
        <v/>
      </c>
      <c r="J20" s="17">
        <f>IF(N($F20)=0,,$G20/$F20-1)</f>
        <v/>
      </c>
    </row>
    <row r="21">
      <c r="A21" s="23" t="n"/>
      <c r="B21" s="23" t="n"/>
      <c r="C21" s="23" t="n"/>
      <c r="D21" s="23" t="n"/>
      <c r="E21" s="39" t="n"/>
      <c r="F21" s="39" t="n"/>
      <c r="G21" s="36">
        <f>IF($C21="",,IF(OR($C21="CASH",$C21="CRYPTO",ISNUMBER(SEARCH("-",$C21))),1,IFERROR(GOOGLEFINANCE($C21,"price"),0)))</f>
        <v/>
      </c>
      <c r="H21" s="16">
        <f>IF($C21="",,ROUND(N($E21)*N($G21),2))</f>
        <v/>
      </c>
      <c r="I21" s="16">
        <f>IF(N($F21)=0,,ROUND($H21-$E21*$F21,2))</f>
        <v/>
      </c>
      <c r="J21" s="17">
        <f>IF(N($F21)=0,,$G21/$F21-1)</f>
        <v/>
      </c>
    </row>
    <row r="22">
      <c r="A22" s="23" t="n"/>
      <c r="B22" s="23" t="n"/>
      <c r="C22" s="23" t="n"/>
      <c r="D22" s="23" t="n"/>
      <c r="E22" s="39" t="n"/>
      <c r="F22" s="39" t="n"/>
      <c r="G22" s="36">
        <f>IF($C22="",,IF(OR($C22="CASH",$C22="CRYPTO",ISNUMBER(SEARCH("-",$C22))),1,IFERROR(GOOGLEFINANCE($C22,"price"),0)))</f>
        <v/>
      </c>
      <c r="H22" s="16">
        <f>IF($C22="",,ROUND(N($E22)*N($G22),2))</f>
        <v/>
      </c>
      <c r="I22" s="16">
        <f>IF(N($F22)=0,,ROUND($H22-$E22*$F22,2))</f>
        <v/>
      </c>
      <c r="J22" s="17">
        <f>IF(N($F22)=0,,$G22/$F22-1)</f>
        <v/>
      </c>
    </row>
    <row r="23">
      <c r="A23" s="23" t="n"/>
      <c r="B23" s="23" t="n"/>
      <c r="C23" s="23" t="n"/>
      <c r="D23" s="23" t="n"/>
      <c r="E23" s="39" t="n"/>
      <c r="F23" s="39" t="n"/>
      <c r="G23" s="36">
        <f>IF($C23="",,IF(OR($C23="CASH",$C23="CRYPTO",ISNUMBER(SEARCH("-",$C23))),1,IFERROR(GOOGLEFINANCE($C23,"price"),0)))</f>
        <v/>
      </c>
      <c r="H23" s="16">
        <f>IF($C23="",,ROUND(N($E23)*N($G23),2))</f>
        <v/>
      </c>
      <c r="I23" s="16">
        <f>IF(N($F23)=0,,ROUND($H23-$E23*$F23,2))</f>
        <v/>
      </c>
      <c r="J23" s="17">
        <f>IF(N($F23)=0,,$G23/$F23-1)</f>
        <v/>
      </c>
    </row>
    <row r="24">
      <c r="A24" s="23" t="n"/>
      <c r="B24" s="23" t="n"/>
      <c r="C24" s="23" t="n"/>
      <c r="D24" s="23" t="n"/>
      <c r="E24" s="39" t="n"/>
      <c r="F24" s="39" t="n"/>
      <c r="G24" s="36">
        <f>IF($C24="",,IF(OR($C24="CASH",$C24="CRYPTO",ISNUMBER(SEARCH("-",$C24))),1,IFERROR(GOOGLEFINANCE($C24,"price"),0)))</f>
        <v/>
      </c>
      <c r="H24" s="16">
        <f>IF($C24="",,ROUND(N($E24)*N($G24),2))</f>
        <v/>
      </c>
      <c r="I24" s="16">
        <f>IF(N($F24)=0,,ROUND($H24-$E24*$F24,2))</f>
        <v/>
      </c>
      <c r="J24" s="17">
        <f>IF(N($F24)=0,,$G24/$F24-1)</f>
        <v/>
      </c>
    </row>
    <row r="25">
      <c r="A25" s="23" t="n"/>
      <c r="B25" s="23" t="n"/>
      <c r="C25" s="23" t="n"/>
      <c r="D25" s="23" t="n"/>
      <c r="E25" s="39" t="n"/>
      <c r="F25" s="39" t="n"/>
      <c r="G25" s="36">
        <f>IF($C25="",,IF(OR($C25="CASH",$C25="CRYPTO",ISNUMBER(SEARCH("-",$C25))),1,IFERROR(GOOGLEFINANCE($C25,"price"),0)))</f>
        <v/>
      </c>
      <c r="H25" s="16">
        <f>IF($C25="",,ROUND(N($E25)*N($G25),2))</f>
        <v/>
      </c>
      <c r="I25" s="16">
        <f>IF(N($F25)=0,,ROUND($H25-$E25*$F25,2))</f>
        <v/>
      </c>
      <c r="J25" s="17">
        <f>IF(N($F25)=0,,$G25/$F25-1)</f>
        <v/>
      </c>
    </row>
    <row r="26">
      <c r="A26" s="23" t="n"/>
      <c r="B26" s="23" t="n"/>
      <c r="C26" s="23" t="n"/>
      <c r="D26" s="23" t="n"/>
      <c r="E26" s="39" t="n"/>
      <c r="F26" s="39" t="n"/>
      <c r="G26" s="36">
        <f>IF($C26="",,IF(OR($C26="CASH",$C26="CRYPTO",ISNUMBER(SEARCH("-",$C26))),1,IFERROR(GOOGLEFINANCE($C26,"price"),0)))</f>
        <v/>
      </c>
      <c r="H26" s="16">
        <f>IF($C26="",,ROUND(N($E26)*N($G26),2))</f>
        <v/>
      </c>
      <c r="I26" s="16">
        <f>IF(N($F26)=0,,ROUND($H26-$E26*$F26,2))</f>
        <v/>
      </c>
      <c r="J26" s="17">
        <f>IF(N($F26)=0,,$G26/$F26-1)</f>
        <v/>
      </c>
    </row>
    <row r="27">
      <c r="A27" s="23" t="n"/>
      <c r="B27" s="23" t="n"/>
      <c r="C27" s="23" t="n"/>
      <c r="D27" s="23" t="n"/>
      <c r="E27" s="39" t="n"/>
      <c r="F27" s="39" t="n"/>
      <c r="G27" s="36">
        <f>IF($C27="",,IF(OR($C27="CASH",$C27="CRYPTO",ISNUMBER(SEARCH("-",$C27))),1,IFERROR(GOOGLEFINANCE($C27,"price"),0)))</f>
        <v/>
      </c>
      <c r="H27" s="16">
        <f>IF($C27="",,ROUND(N($E27)*N($G27),2))</f>
        <v/>
      </c>
      <c r="I27" s="16">
        <f>IF(N($F27)=0,,ROUND($H27-$E27*$F27,2))</f>
        <v/>
      </c>
      <c r="J27" s="17">
        <f>IF(N($F27)=0,,$G27/$F27-1)</f>
        <v/>
      </c>
    </row>
    <row r="28">
      <c r="A28" s="23" t="n"/>
      <c r="B28" s="23" t="n"/>
      <c r="C28" s="23" t="n"/>
      <c r="D28" s="23" t="n"/>
      <c r="E28" s="39" t="n"/>
      <c r="F28" s="39" t="n"/>
      <c r="G28" s="36">
        <f>IF($C28="",,IF(OR($C28="CASH",$C28="CRYPTO",ISNUMBER(SEARCH("-",$C28))),1,IFERROR(GOOGLEFINANCE($C28,"price"),0)))</f>
        <v/>
      </c>
      <c r="H28" s="16">
        <f>IF($C28="",,ROUND(N($E28)*N($G28),2))</f>
        <v/>
      </c>
      <c r="I28" s="16">
        <f>IF(N($F28)=0,,ROUND($H28-$E28*$F28,2))</f>
        <v/>
      </c>
      <c r="J28" s="17">
        <f>IF(N($F28)=0,,$G28/$F28-1)</f>
        <v/>
      </c>
    </row>
    <row r="29">
      <c r="A29" s="23" t="n"/>
      <c r="B29" s="23" t="n"/>
      <c r="C29" s="23" t="n"/>
      <c r="D29" s="23" t="n"/>
      <c r="E29" s="39" t="n"/>
      <c r="F29" s="39" t="n"/>
      <c r="G29" s="36">
        <f>IF($C29="",,IF(OR($C29="CASH",$C29="CRYPTO",ISNUMBER(SEARCH("-",$C29))),1,IFERROR(GOOGLEFINANCE($C29,"price"),0)))</f>
        <v/>
      </c>
      <c r="H29" s="16">
        <f>IF($C29="",,ROUND(N($E29)*N($G29),2))</f>
        <v/>
      </c>
      <c r="I29" s="16">
        <f>IF(N($F29)=0,,ROUND($H29-$E29*$F29,2))</f>
        <v/>
      </c>
      <c r="J29" s="17">
        <f>IF(N($F29)=0,,$G29/$F29-1)</f>
        <v/>
      </c>
    </row>
    <row r="30">
      <c r="A30" s="23" t="n"/>
      <c r="B30" s="23" t="n"/>
      <c r="C30" s="23" t="n"/>
      <c r="D30" s="23" t="n"/>
      <c r="E30" s="39" t="n"/>
      <c r="F30" s="39" t="n"/>
      <c r="G30" s="36">
        <f>IF($C30="",,IF(OR($C30="CASH",$C30="CRYPTO",ISNUMBER(SEARCH("-",$C30))),1,IFERROR(GOOGLEFINANCE($C30,"price"),0)))</f>
        <v/>
      </c>
      <c r="H30" s="16">
        <f>IF($C30="",,ROUND(N($E30)*N($G30),2))</f>
        <v/>
      </c>
      <c r="I30" s="16">
        <f>IF(N($F30)=0,,ROUND($H30-$E30*$F30,2))</f>
        <v/>
      </c>
      <c r="J30" s="17">
        <f>IF(N($F30)=0,,$G30/$F30-1)</f>
        <v/>
      </c>
    </row>
    <row r="31">
      <c r="A31" s="23" t="n"/>
      <c r="B31" s="23" t="n"/>
      <c r="C31" s="23" t="n"/>
      <c r="D31" s="23" t="n"/>
      <c r="E31" s="39" t="n"/>
      <c r="F31" s="39" t="n"/>
      <c r="G31" s="36">
        <f>IF($C31="",,IF(OR($C31="CASH",$C31="CRYPTO",ISNUMBER(SEARCH("-",$C31))),1,IFERROR(GOOGLEFINANCE($C31,"price"),0)))</f>
        <v/>
      </c>
      <c r="H31" s="16">
        <f>IF($C31="",,ROUND(N($E31)*N($G31),2))</f>
        <v/>
      </c>
      <c r="I31" s="16">
        <f>IF(N($F31)=0,,ROUND($H31-$E31*$F31,2))</f>
        <v/>
      </c>
      <c r="J31" s="17">
        <f>IF(N($F31)=0,,$G31/$F31-1)</f>
        <v/>
      </c>
    </row>
    <row r="32">
      <c r="A32" s="23" t="n"/>
      <c r="B32" s="23" t="n"/>
      <c r="C32" s="23" t="n"/>
      <c r="D32" s="23" t="n"/>
      <c r="E32" s="39" t="n"/>
      <c r="F32" s="39" t="n"/>
      <c r="G32" s="36">
        <f>IF($C32="",,IF(OR($C32="CASH",$C32="CRYPTO",ISNUMBER(SEARCH("-",$C32))),1,IFERROR(GOOGLEFINANCE($C32,"price"),0)))</f>
        <v/>
      </c>
      <c r="H32" s="16">
        <f>IF($C32="",,ROUND(N($E32)*N($G32),2))</f>
        <v/>
      </c>
      <c r="I32" s="16">
        <f>IF(N($F32)=0,,ROUND($H32-$E32*$F32,2))</f>
        <v/>
      </c>
      <c r="J32" s="17">
        <f>IF(N($F32)=0,,$G32/$F32-1)</f>
        <v/>
      </c>
    </row>
    <row r="34">
      <c r="G34" s="21" t="inlineStr">
        <is>
          <t>TOTAL</t>
        </is>
      </c>
      <c r="H34" s="40">
        <f>SUM(H5:H32)</f>
        <v/>
      </c>
      <c r="I34" s="40">
        <f>SUM(I5:I32)</f>
        <v/>
      </c>
    </row>
    <row r="36">
      <c r="A36" s="2" t="inlineStr">
        <is>
          <t>Sleeve must match a row on Control Center (US · Intl · Gold · T-bills · Satellites · Cash). Type is Taxable or Retirement.</t>
        </is>
      </c>
    </row>
  </sheetData>
  <conditionalFormatting sqref="I5:J32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5" t="inlineStr">
        <is>
          <t>PROJECTION: where the household could be, from today's holdings</t>
        </is>
      </c>
    </row>
    <row r="2">
      <c r="A2" s="2" t="inlineStr">
        <is>
          <t>Updates by itself when prices or Holdings change. Yellow cells are assumptions you can edit. Bad / Good = worst and best 5% of outcomes. Not a forecast; no new money added.</t>
        </is>
      </c>
    </row>
    <row r="4">
      <c r="A4" s="12" t="inlineStr">
        <is>
          <t>Sleeve</t>
        </is>
      </c>
      <c r="B4" s="12" t="inlineStr">
        <is>
          <t>Return / yr</t>
        </is>
      </c>
      <c r="C4" s="12" t="inlineStr">
        <is>
          <t>Volatility</t>
        </is>
      </c>
      <c r="D4" s="12" t="inlineStr">
        <is>
          <t>Weight now</t>
        </is>
      </c>
      <c r="E4" s="12" t="inlineStr">
        <is>
          <t>Target weight</t>
        </is>
      </c>
    </row>
    <row r="5">
      <c r="A5" s="15" t="inlineStr">
        <is>
          <t>US</t>
        </is>
      </c>
      <c r="B5" s="41" t="n">
        <v>0.065</v>
      </c>
      <c r="C5" s="41" t="n">
        <v>0.16</v>
      </c>
      <c r="D5" s="17">
        <f>IFERROR(SUMIF(Holdings!$D$5:$D$32,$A5,Holdings!$H$5:$H$32)/SUM(Holdings!$H$5:$H$32),0)</f>
        <v/>
      </c>
      <c r="E5" s="17">
        <f>'Control Center'!$B$6</f>
        <v/>
      </c>
    </row>
    <row r="6">
      <c r="A6" s="15" t="inlineStr">
        <is>
          <t>Intl</t>
        </is>
      </c>
      <c r="B6" s="41" t="n">
        <v>0.074</v>
      </c>
      <c r="C6" s="41" t="n">
        <v>0.17</v>
      </c>
      <c r="D6" s="17">
        <f>IFERROR(SUMIF(Holdings!$D$5:$D$32,$A6,Holdings!$H$5:$H$32)/SUM(Holdings!$H$5:$H$32),0)</f>
        <v/>
      </c>
      <c r="E6" s="17">
        <f>'Control Center'!$B$7</f>
        <v/>
      </c>
    </row>
    <row r="7">
      <c r="A7" s="15" t="inlineStr">
        <is>
          <t>Gold</t>
        </is>
      </c>
      <c r="B7" s="41" t="n">
        <v>0.035</v>
      </c>
      <c r="C7" s="41" t="n">
        <v>0.15</v>
      </c>
      <c r="D7" s="17">
        <f>IFERROR(SUMIF(Holdings!$D$5:$D$32,$A7,Holdings!$H$5:$H$32)/SUM(Holdings!$H$5:$H$32),0)</f>
        <v/>
      </c>
      <c r="E7" s="17">
        <f>'Control Center'!$B$8</f>
        <v/>
      </c>
    </row>
    <row r="8">
      <c r="A8" s="15" t="inlineStr">
        <is>
          <t>T-bills</t>
        </is>
      </c>
      <c r="B8" s="41" t="n">
        <v>0.032</v>
      </c>
      <c r="C8" s="41" t="n">
        <v>0.005</v>
      </c>
      <c r="D8" s="17">
        <f>IFERROR(SUMIF(Holdings!$D$5:$D$32,$A8,Holdings!$H$5:$H$32)/SUM(Holdings!$H$5:$H$32),0)</f>
        <v/>
      </c>
      <c r="E8" s="17">
        <f>'Control Center'!$B$9</f>
        <v/>
      </c>
    </row>
    <row r="9">
      <c r="A9" s="15" t="inlineStr">
        <is>
          <t>Satellites</t>
        </is>
      </c>
      <c r="B9" s="41" t="n">
        <v>0.08</v>
      </c>
      <c r="C9" s="41" t="n">
        <v>0.45</v>
      </c>
      <c r="D9" s="17">
        <f>IFERROR(SUMIF(Holdings!$D$5:$D$32,$A9,Holdings!$H$5:$H$32)/SUM(Holdings!$H$5:$H$32),0)</f>
        <v/>
      </c>
      <c r="E9" s="17">
        <f>'Control Center'!$B$10</f>
        <v/>
      </c>
    </row>
    <row r="10">
      <c r="A10" s="15" t="inlineStr">
        <is>
          <t>Cash</t>
        </is>
      </c>
      <c r="B10" s="41" t="n">
        <v>0.025</v>
      </c>
      <c r="C10" s="41" t="n">
        <v>0.001</v>
      </c>
      <c r="D10" s="17">
        <f>IFERROR(SUMIF(Holdings!$D$5:$D$32,$A10,Holdings!$H$5:$H$32)/SUM(Holdings!$H$5:$H$32),0)</f>
        <v/>
      </c>
      <c r="E10" s="17">
        <f>'Control Center'!$B$11</f>
        <v/>
      </c>
    </row>
    <row r="12">
      <c r="A12" s="21" t="inlineStr">
        <is>
          <t>How the sleeves move together (correlation, editable)</t>
        </is>
      </c>
    </row>
    <row r="13">
      <c r="B13" s="42" t="inlineStr">
        <is>
          <t>US</t>
        </is>
      </c>
      <c r="C13" s="42" t="inlineStr">
        <is>
          <t>Intl</t>
        </is>
      </c>
      <c r="D13" s="42" t="inlineStr">
        <is>
          <t>Gold</t>
        </is>
      </c>
      <c r="E13" s="42" t="inlineStr">
        <is>
          <t>T-bills</t>
        </is>
      </c>
      <c r="F13" s="42" t="inlineStr">
        <is>
          <t>Satellites</t>
        </is>
      </c>
      <c r="G13" s="42" t="inlineStr">
        <is>
          <t>Cash</t>
        </is>
      </c>
    </row>
    <row r="14">
      <c r="A14" s="42" t="inlineStr">
        <is>
          <t>US</t>
        </is>
      </c>
      <c r="B14" s="43" t="n">
        <v>1</v>
      </c>
      <c r="C14" s="43" t="n">
        <v>0.8</v>
      </c>
      <c r="D14" s="43" t="n">
        <v>0.15</v>
      </c>
      <c r="E14" s="43" t="n">
        <v>0</v>
      </c>
      <c r="F14" s="43" t="n">
        <v>0.5</v>
      </c>
      <c r="G14" s="43" t="n">
        <v>0</v>
      </c>
    </row>
    <row r="15">
      <c r="A15" s="42" t="inlineStr">
        <is>
          <t>Intl</t>
        </is>
      </c>
      <c r="B15" s="43" t="n">
        <v>0.8</v>
      </c>
      <c r="C15" s="43" t="n">
        <v>1</v>
      </c>
      <c r="D15" s="43" t="n">
        <v>0.15</v>
      </c>
      <c r="E15" s="43" t="n">
        <v>0</v>
      </c>
      <c r="F15" s="43" t="n">
        <v>0.5</v>
      </c>
      <c r="G15" s="43" t="n">
        <v>0</v>
      </c>
    </row>
    <row r="16">
      <c r="A16" s="42" t="inlineStr">
        <is>
          <t>Gold</t>
        </is>
      </c>
      <c r="B16" s="43" t="n">
        <v>0.15</v>
      </c>
      <c r="C16" s="43" t="n">
        <v>0.15</v>
      </c>
      <c r="D16" s="43" t="n">
        <v>1</v>
      </c>
      <c r="E16" s="43" t="n">
        <v>0</v>
      </c>
      <c r="F16" s="43" t="n">
        <v>0.15</v>
      </c>
      <c r="G16" s="43" t="n">
        <v>0</v>
      </c>
    </row>
    <row r="17">
      <c r="A17" s="42" t="inlineStr">
        <is>
          <t>T-bills</t>
        </is>
      </c>
      <c r="B17" s="43" t="n">
        <v>0</v>
      </c>
      <c r="C17" s="43" t="n">
        <v>0</v>
      </c>
      <c r="D17" s="43" t="n">
        <v>0</v>
      </c>
      <c r="E17" s="43" t="n">
        <v>1</v>
      </c>
      <c r="F17" s="43" t="n">
        <v>0</v>
      </c>
      <c r="G17" s="43" t="n">
        <v>0</v>
      </c>
    </row>
    <row r="18">
      <c r="A18" s="42" t="inlineStr">
        <is>
          <t>Satellites</t>
        </is>
      </c>
      <c r="B18" s="43" t="n">
        <v>0.5</v>
      </c>
      <c r="C18" s="43" t="n">
        <v>0.5</v>
      </c>
      <c r="D18" s="43" t="n">
        <v>0.15</v>
      </c>
      <c r="E18" s="43" t="n">
        <v>0</v>
      </c>
      <c r="F18" s="43" t="n">
        <v>1</v>
      </c>
      <c r="G18" s="43" t="n">
        <v>0</v>
      </c>
    </row>
    <row r="19">
      <c r="A19" s="42" t="inlineStr">
        <is>
          <t>Cash</t>
        </is>
      </c>
      <c r="B19" s="43" t="n">
        <v>0</v>
      </c>
      <c r="C19" s="43" t="n">
        <v>0</v>
      </c>
      <c r="D19" s="43" t="n">
        <v>0</v>
      </c>
      <c r="E19" s="43" t="n">
        <v>0</v>
      </c>
      <c r="F19" s="43" t="n">
        <v>0</v>
      </c>
      <c r="G19" s="43" t="n">
        <v>1</v>
      </c>
    </row>
    <row r="20">
      <c r="A20" s="2" t="inlineStr">
        <is>
          <t>Covariance (calculated)</t>
        </is>
      </c>
    </row>
    <row r="21">
      <c r="B21" s="13">
        <f>B14*$C$5*$C$5</f>
        <v/>
      </c>
      <c r="C21" s="13">
        <f>C14*$C$5*$C$6</f>
        <v/>
      </c>
      <c r="D21" s="13">
        <f>D14*$C$5*$C$7</f>
        <v/>
      </c>
      <c r="E21" s="13">
        <f>E14*$C$5*$C$8</f>
        <v/>
      </c>
      <c r="F21" s="13">
        <f>F14*$C$5*$C$9</f>
        <v/>
      </c>
      <c r="G21" s="13">
        <f>G14*$C$5*$C$10</f>
        <v/>
      </c>
      <c r="H21" s="13">
        <f>MMULT(B21:G21,$D$5:$D$10)</f>
        <v/>
      </c>
      <c r="I21" s="13">
        <f>MMULT(B21:G21,$E$5:$E$10)</f>
        <v/>
      </c>
    </row>
    <row r="22">
      <c r="B22" s="13">
        <f>B15*$C$6*$C$5</f>
        <v/>
      </c>
      <c r="C22" s="13">
        <f>C15*$C$6*$C$6</f>
        <v/>
      </c>
      <c r="D22" s="13">
        <f>D15*$C$6*$C$7</f>
        <v/>
      </c>
      <c r="E22" s="13">
        <f>E15*$C$6*$C$8</f>
        <v/>
      </c>
      <c r="F22" s="13">
        <f>F15*$C$6*$C$9</f>
        <v/>
      </c>
      <c r="G22" s="13">
        <f>G15*$C$6*$C$10</f>
        <v/>
      </c>
      <c r="H22" s="13">
        <f>MMULT(B22:G22,$D$5:$D$10)</f>
        <v/>
      </c>
      <c r="I22" s="13">
        <f>MMULT(B22:G22,$E$5:$E$10)</f>
        <v/>
      </c>
    </row>
    <row r="23">
      <c r="B23" s="13">
        <f>B16*$C$7*$C$5</f>
        <v/>
      </c>
      <c r="C23" s="13">
        <f>C16*$C$7*$C$6</f>
        <v/>
      </c>
      <c r="D23" s="13">
        <f>D16*$C$7*$C$7</f>
        <v/>
      </c>
      <c r="E23" s="13">
        <f>E16*$C$7*$C$8</f>
        <v/>
      </c>
      <c r="F23" s="13">
        <f>F16*$C$7*$C$9</f>
        <v/>
      </c>
      <c r="G23" s="13">
        <f>G16*$C$7*$C$10</f>
        <v/>
      </c>
      <c r="H23" s="13">
        <f>MMULT(B23:G23,$D$5:$D$10)</f>
        <v/>
      </c>
      <c r="I23" s="13">
        <f>MMULT(B23:G23,$E$5:$E$10)</f>
        <v/>
      </c>
    </row>
    <row r="24">
      <c r="B24" s="13">
        <f>B17*$C$8*$C$5</f>
        <v/>
      </c>
      <c r="C24" s="13">
        <f>C17*$C$8*$C$6</f>
        <v/>
      </c>
      <c r="D24" s="13">
        <f>D17*$C$8*$C$7</f>
        <v/>
      </c>
      <c r="E24" s="13">
        <f>E17*$C$8*$C$8</f>
        <v/>
      </c>
      <c r="F24" s="13">
        <f>F17*$C$8*$C$9</f>
        <v/>
      </c>
      <c r="G24" s="13">
        <f>G17*$C$8*$C$10</f>
        <v/>
      </c>
      <c r="H24" s="13">
        <f>MMULT(B24:G24,$D$5:$D$10)</f>
        <v/>
      </c>
      <c r="I24" s="13">
        <f>MMULT(B24:G24,$E$5:$E$10)</f>
        <v/>
      </c>
    </row>
    <row r="25">
      <c r="B25" s="13">
        <f>B18*$C$9*$C$5</f>
        <v/>
      </c>
      <c r="C25" s="13">
        <f>C18*$C$9*$C$6</f>
        <v/>
      </c>
      <c r="D25" s="13">
        <f>D18*$C$9*$C$7</f>
        <v/>
      </c>
      <c r="E25" s="13">
        <f>E18*$C$9*$C$8</f>
        <v/>
      </c>
      <c r="F25" s="13">
        <f>F18*$C$9*$C$9</f>
        <v/>
      </c>
      <c r="G25" s="13">
        <f>G18*$C$9*$C$10</f>
        <v/>
      </c>
      <c r="H25" s="13">
        <f>MMULT(B25:G25,$D$5:$D$10)</f>
        <v/>
      </c>
      <c r="I25" s="13">
        <f>MMULT(B25:G25,$E$5:$E$10)</f>
        <v/>
      </c>
    </row>
    <row r="26">
      <c r="B26" s="13">
        <f>B19*$C$10*$C$5</f>
        <v/>
      </c>
      <c r="C26" s="13">
        <f>C19*$C$10*$C$6</f>
        <v/>
      </c>
      <c r="D26" s="13">
        <f>D19*$C$10*$C$7</f>
        <v/>
      </c>
      <c r="E26" s="13">
        <f>E19*$C$10*$C$8</f>
        <v/>
      </c>
      <c r="F26" s="13">
        <f>F19*$C$10*$C$9</f>
        <v/>
      </c>
      <c r="G26" s="13">
        <f>G19*$C$10*$C$10</f>
        <v/>
      </c>
      <c r="H26" s="13">
        <f>MMULT(B26:G26,$D$5:$D$10)</f>
        <v/>
      </c>
      <c r="I26" s="13">
        <f>MMULT(B26:G26,$E$5:$E$10)</f>
        <v/>
      </c>
    </row>
    <row r="28">
      <c r="A28" s="12" t="inlineStr"/>
      <c r="B28" s="12" t="inlineStr">
        <is>
          <t>Today's mix</t>
        </is>
      </c>
      <c r="C28" s="12" t="inlineStr">
        <is>
          <t>At targets</t>
        </is>
      </c>
    </row>
    <row r="29">
      <c r="A29" s="23" t="inlineStr">
        <is>
          <t>Starting value (Holdings total)</t>
        </is>
      </c>
      <c r="B29" s="16">
        <f>SUM(Holdings!$H$5:$H$32)</f>
        <v/>
      </c>
      <c r="C29" s="16">
        <f>B29</f>
        <v/>
      </c>
    </row>
    <row r="30">
      <c r="A30" s="23" t="inlineStr">
        <is>
          <t>Expected return / yr</t>
        </is>
      </c>
      <c r="B30" s="44">
        <f>SUMPRODUCT($B$5:$B$10,D5:D10)</f>
        <v/>
      </c>
      <c r="C30" s="44">
        <f>SUMPRODUCT($B$5:$B$10,E5:E10)</f>
        <v/>
      </c>
    </row>
    <row r="31">
      <c r="A31" s="23" t="inlineStr">
        <is>
          <t>Volatility (typical yearly swing)</t>
        </is>
      </c>
      <c r="B31" s="44">
        <f>SQRT(SUMPRODUCT(D5:D10,H21:H26))</f>
        <v/>
      </c>
      <c r="C31" s="44">
        <f>SQRT(SUMPRODUCT(E5:E10,I21:I26))</f>
        <v/>
      </c>
    </row>
    <row r="32">
      <c r="A32" s="23" t="inlineStr">
        <is>
          <t>Growth rate used (after volatility drag)</t>
        </is>
      </c>
      <c r="B32" s="44">
        <f>LN(1+B30)-B31^2/2</f>
        <v/>
      </c>
      <c r="C32" s="44">
        <f>LN(1+C30)-C31^2/2</f>
        <v/>
      </c>
    </row>
    <row r="34">
      <c r="A34" s="12" t="inlineStr">
        <is>
          <t>Years from today</t>
        </is>
      </c>
      <c r="B34" s="12" t="inlineStr">
        <is>
          <t>Bad (5%)</t>
        </is>
      </c>
      <c r="C34" s="12" t="inlineStr">
        <is>
          <t>Middle</t>
        </is>
      </c>
      <c r="D34" s="12" t="inlineStr">
        <is>
          <t>Good (95%)</t>
        </is>
      </c>
      <c r="E34" s="12" t="inlineStr">
        <is>
          <t>Middle at targets</t>
        </is>
      </c>
    </row>
    <row r="35">
      <c r="A35" s="23" t="n">
        <v>0</v>
      </c>
      <c r="B35" s="16">
        <f>$B$29*EXP($B$32*$A35-1.645*$B$31*SQRT($A35))</f>
        <v/>
      </c>
      <c r="C35" s="45">
        <f>$B$29*EXP($B$32*$A35)</f>
        <v/>
      </c>
      <c r="D35" s="16">
        <f>$B$29*EXP($B$32*$A35+1.645*$B$31*SQRT($A35))</f>
        <v/>
      </c>
      <c r="E35" s="16">
        <f>$C$29*EXP($C$32*$A35)</f>
        <v/>
      </c>
    </row>
    <row r="36">
      <c r="A36" s="23" t="n">
        <v>1</v>
      </c>
      <c r="B36" s="16">
        <f>$B$29*EXP($B$32*$A36-1.645*$B$31*SQRT($A36))</f>
        <v/>
      </c>
      <c r="C36" s="45">
        <f>$B$29*EXP($B$32*$A36)</f>
        <v/>
      </c>
      <c r="D36" s="16">
        <f>$B$29*EXP($B$32*$A36+1.645*$B$31*SQRT($A36))</f>
        <v/>
      </c>
      <c r="E36" s="16">
        <f>$C$29*EXP($C$32*$A36)</f>
        <v/>
      </c>
    </row>
    <row r="37">
      <c r="A37" s="23" t="n">
        <v>2</v>
      </c>
      <c r="B37" s="16">
        <f>$B$29*EXP($B$32*$A37-1.645*$B$31*SQRT($A37))</f>
        <v/>
      </c>
      <c r="C37" s="45">
        <f>$B$29*EXP($B$32*$A37)</f>
        <v/>
      </c>
      <c r="D37" s="16">
        <f>$B$29*EXP($B$32*$A37+1.645*$B$31*SQRT($A37))</f>
        <v/>
      </c>
      <c r="E37" s="16">
        <f>$C$29*EXP($C$32*$A37)</f>
        <v/>
      </c>
    </row>
    <row r="38">
      <c r="A38" s="23" t="n">
        <v>3</v>
      </c>
      <c r="B38" s="16">
        <f>$B$29*EXP($B$32*$A38-1.645*$B$31*SQRT($A38))</f>
        <v/>
      </c>
      <c r="C38" s="45">
        <f>$B$29*EXP($B$32*$A38)</f>
        <v/>
      </c>
      <c r="D38" s="16">
        <f>$B$29*EXP($B$32*$A38+1.645*$B$31*SQRT($A38))</f>
        <v/>
      </c>
      <c r="E38" s="16">
        <f>$C$29*EXP($C$32*$A38)</f>
        <v/>
      </c>
    </row>
    <row r="39">
      <c r="A39" s="23" t="n">
        <v>4</v>
      </c>
      <c r="B39" s="16">
        <f>$B$29*EXP($B$32*$A39-1.645*$B$31*SQRT($A39))</f>
        <v/>
      </c>
      <c r="C39" s="45">
        <f>$B$29*EXP($B$32*$A39)</f>
        <v/>
      </c>
      <c r="D39" s="16">
        <f>$B$29*EXP($B$32*$A39+1.645*$B$31*SQRT($A39))</f>
        <v/>
      </c>
      <c r="E39" s="16">
        <f>$C$29*EXP($C$32*$A39)</f>
        <v/>
      </c>
    </row>
    <row r="40">
      <c r="A40" s="23" t="n">
        <v>5</v>
      </c>
      <c r="B40" s="16">
        <f>$B$29*EXP($B$32*$A40-1.645*$B$31*SQRT($A40))</f>
        <v/>
      </c>
      <c r="C40" s="45">
        <f>$B$29*EXP($B$32*$A40)</f>
        <v/>
      </c>
      <c r="D40" s="16">
        <f>$B$29*EXP($B$32*$A40+1.645*$B$31*SQRT($A40))</f>
        <v/>
      </c>
      <c r="E40" s="16">
        <f>$C$29*EXP($C$32*$A40)</f>
        <v/>
      </c>
    </row>
    <row r="41">
      <c r="A41" s="23" t="n">
        <v>6</v>
      </c>
      <c r="B41" s="16">
        <f>$B$29*EXP($B$32*$A41-1.645*$B$31*SQRT($A41))</f>
        <v/>
      </c>
      <c r="C41" s="45">
        <f>$B$29*EXP($B$32*$A41)</f>
        <v/>
      </c>
      <c r="D41" s="16">
        <f>$B$29*EXP($B$32*$A41+1.645*$B$31*SQRT($A41))</f>
        <v/>
      </c>
      <c r="E41" s="16">
        <f>$C$29*EXP($C$32*$A41)</f>
        <v/>
      </c>
    </row>
    <row r="42">
      <c r="A42" s="23" t="n">
        <v>7</v>
      </c>
      <c r="B42" s="16">
        <f>$B$29*EXP($B$32*$A42-1.645*$B$31*SQRT($A42))</f>
        <v/>
      </c>
      <c r="C42" s="45">
        <f>$B$29*EXP($B$32*$A42)</f>
        <v/>
      </c>
      <c r="D42" s="16">
        <f>$B$29*EXP($B$32*$A42+1.645*$B$31*SQRT($A42))</f>
        <v/>
      </c>
      <c r="E42" s="16">
        <f>$C$29*EXP($C$32*$A42)</f>
        <v/>
      </c>
    </row>
    <row r="43">
      <c r="A43" s="23" t="n">
        <v>8</v>
      </c>
      <c r="B43" s="16">
        <f>$B$29*EXP($B$32*$A43-1.645*$B$31*SQRT($A43))</f>
        <v/>
      </c>
      <c r="C43" s="45">
        <f>$B$29*EXP($B$32*$A43)</f>
        <v/>
      </c>
      <c r="D43" s="16">
        <f>$B$29*EXP($B$32*$A43+1.645*$B$31*SQRT($A43))</f>
        <v/>
      </c>
      <c r="E43" s="16">
        <f>$C$29*EXP($C$32*$A43)</f>
        <v/>
      </c>
    </row>
    <row r="44">
      <c r="A44" s="23" t="n">
        <v>9</v>
      </c>
      <c r="B44" s="16">
        <f>$B$29*EXP($B$32*$A44-1.645*$B$31*SQRT($A44))</f>
        <v/>
      </c>
      <c r="C44" s="45">
        <f>$B$29*EXP($B$32*$A44)</f>
        <v/>
      </c>
      <c r="D44" s="16">
        <f>$B$29*EXP($B$32*$A44+1.645*$B$31*SQRT($A44))</f>
        <v/>
      </c>
      <c r="E44" s="16">
        <f>$C$29*EXP($C$32*$A44)</f>
        <v/>
      </c>
    </row>
    <row r="45">
      <c r="A45" s="23" t="n">
        <v>10</v>
      </c>
      <c r="B45" s="16">
        <f>$B$29*EXP($B$32*$A45-1.645*$B$31*SQRT($A45))</f>
        <v/>
      </c>
      <c r="C45" s="45">
        <f>$B$29*EXP($B$32*$A45)</f>
        <v/>
      </c>
      <c r="D45" s="16">
        <f>$B$29*EXP($B$32*$A45+1.645*$B$31*SQRT($A45))</f>
        <v/>
      </c>
      <c r="E45" s="16">
        <f>$C$29*EXP($C$32*$A45)</f>
        <v/>
      </c>
    </row>
    <row r="47">
      <c r="A47" s="11" t="inlineStr">
        <is>
          <t>chart range: A34:E45 (Mission Control → Set up charts draws it)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11" customWidth="1" min="4" max="4"/>
    <col width="11" customWidth="1" min="5" max="5"/>
    <col width="10" customWidth="1" min="6" max="6"/>
    <col width="13" customWidth="1" min="7" max="7"/>
    <col width="12" customWidth="1" min="8" max="8"/>
    <col width="9" customWidth="1" min="9" max="9"/>
    <col width="10" customWidth="1" min="10" max="10"/>
    <col width="12" customWidth="1" min="11" max="11"/>
    <col width="9" customWidth="1" min="12" max="12"/>
    <col width="40" customWidth="1" min="13" max="13"/>
    <col width="34" customWidth="1" min="14" max="14"/>
  </cols>
  <sheetData>
    <row r="1">
      <c r="A1" s="25" t="inlineStr">
        <is>
          <t>VALUE SLEEVE: beaten-down quality names you review monthly</t>
        </is>
      </c>
    </row>
    <row r="2">
      <c r="A2" s="2" t="inlineStr">
        <is>
          <t>Example rows only, not recommendations. Zone = at least the Control Center drop below the 52-week high. Owned shares are pulled from Holdings automatically.</t>
        </is>
      </c>
    </row>
    <row r="4">
      <c r="A4" s="12" t="inlineStr">
        <is>
          <t>Ticker</t>
        </is>
      </c>
      <c r="B4" s="12" t="inlineStr">
        <is>
          <t>Name</t>
        </is>
      </c>
      <c r="C4" s="12" t="inlineStr">
        <is>
          <t>Price</t>
        </is>
      </c>
      <c r="D4" s="12" t="inlineStr">
        <is>
          <t>52w high</t>
        </is>
      </c>
      <c r="E4" s="12" t="inlineStr">
        <is>
          <t>Off high</t>
        </is>
      </c>
      <c r="F4" s="12" t="inlineStr">
        <is>
          <t>P/E</t>
        </is>
      </c>
      <c r="G4" s="12" t="inlineStr">
        <is>
          <t>Status</t>
        </is>
      </c>
      <c r="H4" s="12" t="inlineStr">
        <is>
          <t>Planned $</t>
        </is>
      </c>
      <c r="I4" s="12" t="inlineStr">
        <is>
          <t>Shares</t>
        </is>
      </c>
      <c r="J4" s="12" t="inlineStr">
        <is>
          <t>Avg cost</t>
        </is>
      </c>
      <c r="K4" s="12" t="inlineStr">
        <is>
          <t>Value</t>
        </is>
      </c>
      <c r="L4" s="12" t="inlineStr">
        <is>
          <t>Gain %</t>
        </is>
      </c>
      <c r="M4" s="12" t="inlineStr">
        <is>
          <t>Why it's cheap / thesis</t>
        </is>
      </c>
      <c r="N4" s="12" t="inlineStr">
        <is>
          <t>Main risk</t>
        </is>
      </c>
    </row>
    <row r="5" ht="30" customHeight="1">
      <c r="A5" s="46" t="inlineStr">
        <is>
          <t>AAPL</t>
        </is>
      </c>
      <c r="B5" s="23" t="inlineStr">
        <is>
          <t>Apple</t>
        </is>
      </c>
      <c r="C5" s="36">
        <f>IF($A5="",,IFERROR(GOOGLEFINANCE($A5,"price"),))</f>
        <v/>
      </c>
      <c r="D5" s="36">
        <f>IF($A5="",,IFERROR(GOOGLEFINANCE($A5,"high52"),))</f>
        <v/>
      </c>
      <c r="E5" s="17">
        <f>IF(N($D5)=0,,$C5/$D5-1)</f>
        <v/>
      </c>
      <c r="F5" s="47">
        <f>IF($A5="",,IFERROR(GOOGLEFINANCE($A5,"pe"),))</f>
        <v/>
      </c>
      <c r="G5" s="48">
        <f>IF(N($C5)=0,,IF(AND(N($L5)&lt;&gt;0,$L5&lt;='Control Center'!$B$20),"HARVEST?",IF($E5&lt;=-'Control Center'!$B$17,"IN ZONE",IF($E5&lt;=-'Control Center'!$B$19,"NEAR","ABOVE"))))</f>
        <v/>
      </c>
      <c r="H5" s="38" t="n">
        <v>1000</v>
      </c>
      <c r="I5" s="49">
        <f>IF($A5="",,SUMIF(Holdings!$C$5:$C$32,$A5,Holdings!$E$5:$E$32))</f>
        <v/>
      </c>
      <c r="J5" s="36">
        <f>IFERROR(SUMPRODUCT((Holdings!$C$5:$C$32=$A5)*Holdings!$E$5:$E$32*Holdings!$F$5:$F$32)/$I5,)</f>
        <v/>
      </c>
      <c r="K5" s="16">
        <f>IF(N($I5)=0,,ROUND($I5*$C5,2))</f>
        <v/>
      </c>
      <c r="L5" s="17">
        <f>IF(N($J5)=0,,$C5/$J5-1)</f>
        <v/>
      </c>
      <c r="M5" s="50" t="inlineStr">
        <is>
          <t>Example row: write why the stock is cheap vs its own history</t>
        </is>
      </c>
      <c r="N5" s="50" t="inlineStr">
        <is>
          <t>Example row: what would break the thesis</t>
        </is>
      </c>
    </row>
    <row r="6" ht="30" customHeight="1">
      <c r="A6" s="46" t="inlineStr">
        <is>
          <t>KO</t>
        </is>
      </c>
      <c r="B6" s="23" t="inlineStr">
        <is>
          <t>Coca-Cola</t>
        </is>
      </c>
      <c r="C6" s="36">
        <f>IF($A6="",,IFERROR(GOOGLEFINANCE($A6,"price"),))</f>
        <v/>
      </c>
      <c r="D6" s="36">
        <f>IF($A6="",,IFERROR(GOOGLEFINANCE($A6,"high52"),))</f>
        <v/>
      </c>
      <c r="E6" s="17">
        <f>IF(N($D6)=0,,$C6/$D6-1)</f>
        <v/>
      </c>
      <c r="F6" s="47">
        <f>IF($A6="",,IFERROR(GOOGLEFINANCE($A6,"pe"),))</f>
        <v/>
      </c>
      <c r="G6" s="48">
        <f>IF(N($C6)=0,,IF(AND(N($L6)&lt;&gt;0,$L6&lt;='Control Center'!$B$20),"HARVEST?",IF($E6&lt;=-'Control Center'!$B$17,"IN ZONE",IF($E6&lt;=-'Control Center'!$B$19,"NEAR","ABOVE"))))</f>
        <v/>
      </c>
      <c r="H6" s="38" t="n">
        <v>1000</v>
      </c>
      <c r="I6" s="49">
        <f>IF($A6="",,SUMIF(Holdings!$C$5:$C$32,$A6,Holdings!$E$5:$E$32))</f>
        <v/>
      </c>
      <c r="J6" s="36">
        <f>IFERROR(SUMPRODUCT((Holdings!$C$5:$C$32=$A6)*Holdings!$E$5:$E$32*Holdings!$F$5:$F$32)/$I6,)</f>
        <v/>
      </c>
      <c r="K6" s="16">
        <f>IF(N($I6)=0,,ROUND($I6*$C6,2))</f>
        <v/>
      </c>
      <c r="L6" s="17">
        <f>IF(N($J6)=0,,$C6/$J6-1)</f>
        <v/>
      </c>
      <c r="M6" s="50" t="inlineStr">
        <is>
          <t>Example row</t>
        </is>
      </c>
      <c r="N6" s="50" t="inlineStr">
        <is>
          <t>Example row</t>
        </is>
      </c>
    </row>
    <row r="7" ht="30" customHeight="1">
      <c r="A7" s="46" t="inlineStr">
        <is>
          <t>JNJ</t>
        </is>
      </c>
      <c r="B7" s="23" t="inlineStr">
        <is>
          <t>Johnson &amp; Johnson</t>
        </is>
      </c>
      <c r="C7" s="36">
        <f>IF($A7="",,IFERROR(GOOGLEFINANCE($A7,"price"),))</f>
        <v/>
      </c>
      <c r="D7" s="36">
        <f>IF($A7="",,IFERROR(GOOGLEFINANCE($A7,"high52"),))</f>
        <v/>
      </c>
      <c r="E7" s="17">
        <f>IF(N($D7)=0,,$C7/$D7-1)</f>
        <v/>
      </c>
      <c r="F7" s="47">
        <f>IF($A7="",,IFERROR(GOOGLEFINANCE($A7,"pe"),))</f>
        <v/>
      </c>
      <c r="G7" s="48">
        <f>IF(N($C7)=0,,IF(AND(N($L7)&lt;&gt;0,$L7&lt;='Control Center'!$B$20),"HARVEST?",IF($E7&lt;=-'Control Center'!$B$17,"IN ZONE",IF($E7&lt;=-'Control Center'!$B$19,"NEAR","ABOVE"))))</f>
        <v/>
      </c>
      <c r="H7" s="38" t="n">
        <v>1000</v>
      </c>
      <c r="I7" s="49">
        <f>IF($A7="",,SUMIF(Holdings!$C$5:$C$32,$A7,Holdings!$E$5:$E$32))</f>
        <v/>
      </c>
      <c r="J7" s="36">
        <f>IFERROR(SUMPRODUCT((Holdings!$C$5:$C$32=$A7)*Holdings!$E$5:$E$32*Holdings!$F$5:$F$32)/$I7,)</f>
        <v/>
      </c>
      <c r="K7" s="16">
        <f>IF(N($I7)=0,,ROUND($I7*$C7,2))</f>
        <v/>
      </c>
      <c r="L7" s="17">
        <f>IF(N($J7)=0,,$C7/$J7-1)</f>
        <v/>
      </c>
      <c r="M7" s="50" t="inlineStr">
        <is>
          <t>Example row</t>
        </is>
      </c>
      <c r="N7" s="50" t="inlineStr">
        <is>
          <t>Example row</t>
        </is>
      </c>
    </row>
    <row r="8" ht="30" customHeight="1">
      <c r="A8" s="46" t="inlineStr">
        <is>
          <t>HD</t>
        </is>
      </c>
      <c r="B8" s="23" t="inlineStr">
        <is>
          <t>Home Depot</t>
        </is>
      </c>
      <c r="C8" s="36">
        <f>IF($A8="",,IFERROR(GOOGLEFINANCE($A8,"price"),))</f>
        <v/>
      </c>
      <c r="D8" s="36">
        <f>IF($A8="",,IFERROR(GOOGLEFINANCE($A8,"high52"),))</f>
        <v/>
      </c>
      <c r="E8" s="17">
        <f>IF(N($D8)=0,,$C8/$D8-1)</f>
        <v/>
      </c>
      <c r="F8" s="47">
        <f>IF($A8="",,IFERROR(GOOGLEFINANCE($A8,"pe"),))</f>
        <v/>
      </c>
      <c r="G8" s="48">
        <f>IF(N($C8)=0,,IF(AND(N($L8)&lt;&gt;0,$L8&lt;='Control Center'!$B$20),"HARVEST?",IF($E8&lt;=-'Control Center'!$B$17,"IN ZONE",IF($E8&lt;=-'Control Center'!$B$19,"NEAR","ABOVE"))))</f>
        <v/>
      </c>
      <c r="H8" s="38" t="n">
        <v>1000</v>
      </c>
      <c r="I8" s="49">
        <f>IF($A8="",,SUMIF(Holdings!$C$5:$C$32,$A8,Holdings!$E$5:$E$32))</f>
        <v/>
      </c>
      <c r="J8" s="36">
        <f>IFERROR(SUMPRODUCT((Holdings!$C$5:$C$32=$A8)*Holdings!$E$5:$E$32*Holdings!$F$5:$F$32)/$I8,)</f>
        <v/>
      </c>
      <c r="K8" s="16">
        <f>IF(N($I8)=0,,ROUND($I8*$C8,2))</f>
        <v/>
      </c>
      <c r="L8" s="17">
        <f>IF(N($J8)=0,,$C8/$J8-1)</f>
        <v/>
      </c>
      <c r="M8" s="50" t="inlineStr">
        <is>
          <t>Example row</t>
        </is>
      </c>
      <c r="N8" s="50" t="inlineStr">
        <is>
          <t>Example row</t>
        </is>
      </c>
    </row>
    <row r="9" ht="30" customHeight="1">
      <c r="A9" s="46" t="inlineStr">
        <is>
          <t>MCD</t>
        </is>
      </c>
      <c r="B9" s="23" t="inlineStr">
        <is>
          <t>McDonald's</t>
        </is>
      </c>
      <c r="C9" s="36">
        <f>IF($A9="",,IFERROR(GOOGLEFINANCE($A9,"price"),))</f>
        <v/>
      </c>
      <c r="D9" s="36">
        <f>IF($A9="",,IFERROR(GOOGLEFINANCE($A9,"high52"),))</f>
        <v/>
      </c>
      <c r="E9" s="17">
        <f>IF(N($D9)=0,,$C9/$D9-1)</f>
        <v/>
      </c>
      <c r="F9" s="47">
        <f>IF($A9="",,IFERROR(GOOGLEFINANCE($A9,"pe"),))</f>
        <v/>
      </c>
      <c r="G9" s="48">
        <f>IF(N($C9)=0,,IF(AND(N($L9)&lt;&gt;0,$L9&lt;='Control Center'!$B$20),"HARVEST?",IF($E9&lt;=-'Control Center'!$B$17,"IN ZONE",IF($E9&lt;=-'Control Center'!$B$19,"NEAR","ABOVE"))))</f>
        <v/>
      </c>
      <c r="H9" s="38" t="n">
        <v>1000</v>
      </c>
      <c r="I9" s="49">
        <f>IF($A9="",,SUMIF(Holdings!$C$5:$C$32,$A9,Holdings!$E$5:$E$32))</f>
        <v/>
      </c>
      <c r="J9" s="36">
        <f>IFERROR(SUMPRODUCT((Holdings!$C$5:$C$32=$A9)*Holdings!$E$5:$E$32*Holdings!$F$5:$F$32)/$I9,)</f>
        <v/>
      </c>
      <c r="K9" s="16">
        <f>IF(N($I9)=0,,ROUND($I9*$C9,2))</f>
        <v/>
      </c>
      <c r="L9" s="17">
        <f>IF(N($J9)=0,,$C9/$J9-1)</f>
        <v/>
      </c>
      <c r="M9" s="50" t="inlineStr">
        <is>
          <t>Example row</t>
        </is>
      </c>
      <c r="N9" s="50" t="inlineStr">
        <is>
          <t>Example row</t>
        </is>
      </c>
    </row>
    <row r="10" ht="30" customHeight="1">
      <c r="A10" s="46" t="n"/>
      <c r="B10" s="23" t="n"/>
      <c r="C10" s="36">
        <f>IF($A10="",,IFERROR(GOOGLEFINANCE($A10,"price"),))</f>
        <v/>
      </c>
      <c r="D10" s="36">
        <f>IF($A10="",,IFERROR(GOOGLEFINANCE($A10,"high52"),))</f>
        <v/>
      </c>
      <c r="E10" s="17">
        <f>IF(N($D10)=0,,$C10/$D10-1)</f>
        <v/>
      </c>
      <c r="F10" s="47">
        <f>IF($A10="",,IFERROR(GOOGLEFINANCE($A10,"pe"),))</f>
        <v/>
      </c>
      <c r="G10" s="48">
        <f>IF(N($C10)=0,,IF(AND(N($L10)&lt;&gt;0,$L10&lt;='Control Center'!$B$20),"HARVEST?",IF($E10&lt;=-'Control Center'!$B$17,"IN ZONE",IF($E10&lt;=-'Control Center'!$B$19,"NEAR","ABOVE"))))</f>
        <v/>
      </c>
      <c r="H10" s="38" t="n"/>
      <c r="I10" s="49">
        <f>IF($A10="",,SUMIF(Holdings!$C$5:$C$32,$A10,Holdings!$E$5:$E$32))</f>
        <v/>
      </c>
      <c r="J10" s="36">
        <f>IFERROR(SUMPRODUCT((Holdings!$C$5:$C$32=$A10)*Holdings!$E$5:$E$32*Holdings!$F$5:$F$32)/$I10,)</f>
        <v/>
      </c>
      <c r="K10" s="16">
        <f>IF(N($I10)=0,,ROUND($I10*$C10,2))</f>
        <v/>
      </c>
      <c r="L10" s="17">
        <f>IF(N($J10)=0,,$C10/$J10-1)</f>
        <v/>
      </c>
      <c r="M10" s="50" t="n"/>
      <c r="N10" s="50" t="n"/>
    </row>
    <row r="11" ht="30" customHeight="1">
      <c r="A11" s="46" t="n"/>
      <c r="B11" s="23" t="n"/>
      <c r="C11" s="36">
        <f>IF($A11="",,IFERROR(GOOGLEFINANCE($A11,"price"),))</f>
        <v/>
      </c>
      <c r="D11" s="36">
        <f>IF($A11="",,IFERROR(GOOGLEFINANCE($A11,"high52"),))</f>
        <v/>
      </c>
      <c r="E11" s="17">
        <f>IF(N($D11)=0,,$C11/$D11-1)</f>
        <v/>
      </c>
      <c r="F11" s="47">
        <f>IF($A11="",,IFERROR(GOOGLEFINANCE($A11,"pe"),))</f>
        <v/>
      </c>
      <c r="G11" s="48">
        <f>IF(N($C11)=0,,IF(AND(N($L11)&lt;&gt;0,$L11&lt;='Control Center'!$B$20),"HARVEST?",IF($E11&lt;=-'Control Center'!$B$17,"IN ZONE",IF($E11&lt;=-'Control Center'!$B$19,"NEAR","ABOVE"))))</f>
        <v/>
      </c>
      <c r="H11" s="38" t="n"/>
      <c r="I11" s="49">
        <f>IF($A11="",,SUMIF(Holdings!$C$5:$C$32,$A11,Holdings!$E$5:$E$32))</f>
        <v/>
      </c>
      <c r="J11" s="36">
        <f>IFERROR(SUMPRODUCT((Holdings!$C$5:$C$32=$A11)*Holdings!$E$5:$E$32*Holdings!$F$5:$F$32)/$I11,)</f>
        <v/>
      </c>
      <c r="K11" s="16">
        <f>IF(N($I11)=0,,ROUND($I11*$C11,2))</f>
        <v/>
      </c>
      <c r="L11" s="17">
        <f>IF(N($J11)=0,,$C11/$J11-1)</f>
        <v/>
      </c>
      <c r="M11" s="50" t="n"/>
      <c r="N11" s="50" t="n"/>
    </row>
    <row r="12" ht="30" customHeight="1">
      <c r="A12" s="46" t="n"/>
      <c r="B12" s="23" t="n"/>
      <c r="C12" s="36">
        <f>IF($A12="",,IFERROR(GOOGLEFINANCE($A12,"price"),))</f>
        <v/>
      </c>
      <c r="D12" s="36">
        <f>IF($A12="",,IFERROR(GOOGLEFINANCE($A12,"high52"),))</f>
        <v/>
      </c>
      <c r="E12" s="17">
        <f>IF(N($D12)=0,,$C12/$D12-1)</f>
        <v/>
      </c>
      <c r="F12" s="47">
        <f>IF($A12="",,IFERROR(GOOGLEFINANCE($A12,"pe"),))</f>
        <v/>
      </c>
      <c r="G12" s="48">
        <f>IF(N($C12)=0,,IF(AND(N($L12)&lt;&gt;0,$L12&lt;='Control Center'!$B$20),"HARVEST?",IF($E12&lt;=-'Control Center'!$B$17,"IN ZONE",IF($E12&lt;=-'Control Center'!$B$19,"NEAR","ABOVE"))))</f>
        <v/>
      </c>
      <c r="H12" s="38" t="n"/>
      <c r="I12" s="49">
        <f>IF($A12="",,SUMIF(Holdings!$C$5:$C$32,$A12,Holdings!$E$5:$E$32))</f>
        <v/>
      </c>
      <c r="J12" s="36">
        <f>IFERROR(SUMPRODUCT((Holdings!$C$5:$C$32=$A12)*Holdings!$E$5:$E$32*Holdings!$F$5:$F$32)/$I12,)</f>
        <v/>
      </c>
      <c r="K12" s="16">
        <f>IF(N($I12)=0,,ROUND($I12*$C12,2))</f>
        <v/>
      </c>
      <c r="L12" s="17">
        <f>IF(N($J12)=0,,$C12/$J12-1)</f>
        <v/>
      </c>
      <c r="M12" s="50" t="n"/>
      <c r="N12" s="50" t="n"/>
    </row>
    <row r="13" ht="30" customHeight="1">
      <c r="A13" s="46" t="n"/>
      <c r="B13" s="23" t="n"/>
      <c r="C13" s="36">
        <f>IF($A13="",,IFERROR(GOOGLEFINANCE($A13,"price"),))</f>
        <v/>
      </c>
      <c r="D13" s="36">
        <f>IF($A13="",,IFERROR(GOOGLEFINANCE($A13,"high52"),))</f>
        <v/>
      </c>
      <c r="E13" s="17">
        <f>IF(N($D13)=0,,$C13/$D13-1)</f>
        <v/>
      </c>
      <c r="F13" s="47">
        <f>IF($A13="",,IFERROR(GOOGLEFINANCE($A13,"pe"),))</f>
        <v/>
      </c>
      <c r="G13" s="48">
        <f>IF(N($C13)=0,,IF(AND(N($L13)&lt;&gt;0,$L13&lt;='Control Center'!$B$20),"HARVEST?",IF($E13&lt;=-'Control Center'!$B$17,"IN ZONE",IF($E13&lt;=-'Control Center'!$B$19,"NEAR","ABOVE"))))</f>
        <v/>
      </c>
      <c r="H13" s="38" t="n"/>
      <c r="I13" s="49">
        <f>IF($A13="",,SUMIF(Holdings!$C$5:$C$32,$A13,Holdings!$E$5:$E$32))</f>
        <v/>
      </c>
      <c r="J13" s="36">
        <f>IFERROR(SUMPRODUCT((Holdings!$C$5:$C$32=$A13)*Holdings!$E$5:$E$32*Holdings!$F$5:$F$32)/$I13,)</f>
        <v/>
      </c>
      <c r="K13" s="16">
        <f>IF(N($I13)=0,,ROUND($I13*$C13,2))</f>
        <v/>
      </c>
      <c r="L13" s="17">
        <f>IF(N($J13)=0,,$C13/$J13-1)</f>
        <v/>
      </c>
      <c r="M13" s="50" t="n"/>
      <c r="N13" s="50" t="n"/>
    </row>
    <row r="14" ht="30" customHeight="1">
      <c r="A14" s="46" t="n"/>
      <c r="B14" s="23" t="n"/>
      <c r="C14" s="36">
        <f>IF($A14="",,IFERROR(GOOGLEFINANCE($A14,"price"),))</f>
        <v/>
      </c>
      <c r="D14" s="36">
        <f>IF($A14="",,IFERROR(GOOGLEFINANCE($A14,"high52"),))</f>
        <v/>
      </c>
      <c r="E14" s="17">
        <f>IF(N($D14)=0,,$C14/$D14-1)</f>
        <v/>
      </c>
      <c r="F14" s="47">
        <f>IF($A14="",,IFERROR(GOOGLEFINANCE($A14,"pe"),))</f>
        <v/>
      </c>
      <c r="G14" s="48">
        <f>IF(N($C14)=0,,IF(AND(N($L14)&lt;&gt;0,$L14&lt;='Control Center'!$B$20),"HARVEST?",IF($E14&lt;=-'Control Center'!$B$17,"IN ZONE",IF($E14&lt;=-'Control Center'!$B$19,"NEAR","ABOVE"))))</f>
        <v/>
      </c>
      <c r="H14" s="38" t="n"/>
      <c r="I14" s="49">
        <f>IF($A14="",,SUMIF(Holdings!$C$5:$C$32,$A14,Holdings!$E$5:$E$32))</f>
        <v/>
      </c>
      <c r="J14" s="36">
        <f>IFERROR(SUMPRODUCT((Holdings!$C$5:$C$32=$A14)*Holdings!$E$5:$E$32*Holdings!$F$5:$F$32)/$I14,)</f>
        <v/>
      </c>
      <c r="K14" s="16">
        <f>IF(N($I14)=0,,ROUND($I14*$C14,2))</f>
        <v/>
      </c>
      <c r="L14" s="17">
        <f>IF(N($J14)=0,,$C14/$J14-1)</f>
        <v/>
      </c>
      <c r="M14" s="50" t="n"/>
      <c r="N14" s="50" t="n"/>
    </row>
    <row r="15">
      <c r="G15" s="21" t="inlineStr">
        <is>
          <t>TOTAL</t>
        </is>
      </c>
      <c r="H15" s="40">
        <f>SUM(H5:H14)</f>
        <v/>
      </c>
      <c r="K15" s="40">
        <f>SUM(K5:K14)</f>
        <v/>
      </c>
    </row>
  </sheetData>
  <conditionalFormatting sqref="G5:G14">
    <cfRule type="expression" priority="1" dxfId="2">
      <formula>G5="IN ZONE"</formula>
    </cfRule>
    <cfRule type="expression" priority="2" dxfId="3">
      <formula>G5="NEAR"</formula>
    </cfRule>
    <cfRule type="expression" priority="3" dxfId="4">
      <formula>G5="HARVEST?"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30" customWidth="1" min="12" max="12"/>
  </cols>
  <sheetData>
    <row r="1">
      <c r="A1" s="25" t="inlineStr">
        <is>
          <t>WATCHLIST: names you don't need to own, scanned for value</t>
        </is>
      </c>
    </row>
    <row r="2">
      <c r="A2" s="2" t="inlineStr">
        <is>
          <t>Live prices. VALUE ZONE / WATCH thresholds come from Control Center. Add or remove tickers freely (column A); copy a row's formulas down for new rows.</t>
        </is>
      </c>
    </row>
    <row r="4">
      <c r="A4" s="12" t="inlineStr">
        <is>
          <t>Ticker</t>
        </is>
      </c>
      <c r="B4" s="12" t="inlineStr">
        <is>
          <t>Name</t>
        </is>
      </c>
      <c r="C4" s="12" t="inlineStr">
        <is>
          <t>Group</t>
        </is>
      </c>
      <c r="D4" s="12" t="inlineStr">
        <is>
          <t>Price</t>
        </is>
      </c>
      <c r="E4" s="12" t="inlineStr">
        <is>
          <t>52w low</t>
        </is>
      </c>
      <c r="F4" s="12" t="inlineStr">
        <is>
          <t>52w high</t>
        </is>
      </c>
      <c r="G4" s="12" t="inlineStr">
        <is>
          <t>Off high</t>
        </is>
      </c>
      <c r="H4" s="12" t="inlineStr">
        <is>
          <t>Range pos.</t>
        </is>
      </c>
      <c r="I4" s="12" t="inlineStr">
        <is>
          <t>P/E</t>
        </is>
      </c>
      <c r="J4" s="12" t="inlineStr">
        <is>
          <t>Mkt cap $B</t>
        </is>
      </c>
      <c r="K4" s="12" t="inlineStr">
        <is>
          <t>Flag</t>
        </is>
      </c>
      <c r="L4" s="12" t="inlineStr">
        <is>
          <t>Agent note</t>
        </is>
      </c>
    </row>
    <row r="5">
      <c r="A5" s="15" t="inlineStr">
        <is>
          <t>NVDA</t>
        </is>
      </c>
      <c r="B5" s="20">
        <f>IFERROR(GOOGLEFINANCE($A5,"name"),)</f>
        <v/>
      </c>
      <c r="C5" s="24" t="inlineStr">
        <is>
          <t>Semis &amp; hardware</t>
        </is>
      </c>
      <c r="D5" s="36">
        <f>IFERROR(GOOGLEFINANCE($A5,"price"),)</f>
        <v/>
      </c>
      <c r="E5" s="36">
        <f>IFERROR(GOOGLEFINANCE($A5,"low52"),)</f>
        <v/>
      </c>
      <c r="F5" s="36">
        <f>IFERROR(GOOGLEFINANCE($A5,"high52"),)</f>
        <v/>
      </c>
      <c r="G5" s="17">
        <f>IF(N($F5)=0,,$D5/$F5-1)</f>
        <v/>
      </c>
      <c r="H5" s="18">
        <f>IF(N($F5)-N($E5)&lt;=0,,($D5-$E5)/($F5-$E5))</f>
        <v/>
      </c>
      <c r="I5" s="47">
        <f>IFERROR(GOOGLEFINANCE($A5,"pe"),)</f>
        <v/>
      </c>
      <c r="J5" s="51">
        <f>IFERROR(GOOGLEFINANCE($A5,"marketcap")/1E9,)</f>
        <v/>
      </c>
      <c r="K5" s="48">
        <f>IF(N($D5)=0,,IF(AND($G5&lt;=-'Control Center'!$B$17,AND(N($I5)&gt;0,$I5&lt;='Control Center'!$B$18)),"VALUE ZONE",IF($G5&lt;=-'Control Center'!$B$19,"WATCH","—")))</f>
        <v/>
      </c>
      <c r="L5" s="20" t="n"/>
    </row>
    <row r="6">
      <c r="A6" s="15" t="inlineStr">
        <is>
          <t>AVGO</t>
        </is>
      </c>
      <c r="B6" s="20">
        <f>IFERROR(GOOGLEFINANCE($A6,"name"),)</f>
        <v/>
      </c>
      <c r="C6" s="24" t="inlineStr">
        <is>
          <t>Semis &amp; hardware</t>
        </is>
      </c>
      <c r="D6" s="36">
        <f>IFERROR(GOOGLEFINANCE($A6,"price"),)</f>
        <v/>
      </c>
      <c r="E6" s="36">
        <f>IFERROR(GOOGLEFINANCE($A6,"low52"),)</f>
        <v/>
      </c>
      <c r="F6" s="36">
        <f>IFERROR(GOOGLEFINANCE($A6,"high52"),)</f>
        <v/>
      </c>
      <c r="G6" s="17">
        <f>IF(N($F6)=0,,$D6/$F6-1)</f>
        <v/>
      </c>
      <c r="H6" s="18">
        <f>IF(N($F6)-N($E6)&lt;=0,,($D6-$E6)/($F6-$E6))</f>
        <v/>
      </c>
      <c r="I6" s="47">
        <f>IFERROR(GOOGLEFINANCE($A6,"pe"),)</f>
        <v/>
      </c>
      <c r="J6" s="51">
        <f>IFERROR(GOOGLEFINANCE($A6,"marketcap")/1E9,)</f>
        <v/>
      </c>
      <c r="K6" s="48">
        <f>IF(N($D6)=0,,IF(AND($G6&lt;=-'Control Center'!$B$17,AND(N($I6)&gt;0,$I6&lt;='Control Center'!$B$18)),"VALUE ZONE",IF($G6&lt;=-'Control Center'!$B$19,"WATCH","—")))</f>
        <v/>
      </c>
      <c r="L6" s="20" t="n"/>
    </row>
    <row r="7">
      <c r="A7" s="15" t="inlineStr">
        <is>
          <t>AMD</t>
        </is>
      </c>
      <c r="B7" s="20">
        <f>IFERROR(GOOGLEFINANCE($A7,"name"),)</f>
        <v/>
      </c>
      <c r="C7" s="24" t="inlineStr">
        <is>
          <t>Semis &amp; hardware</t>
        </is>
      </c>
      <c r="D7" s="36">
        <f>IFERROR(GOOGLEFINANCE($A7,"price"),)</f>
        <v/>
      </c>
      <c r="E7" s="36">
        <f>IFERROR(GOOGLEFINANCE($A7,"low52"),)</f>
        <v/>
      </c>
      <c r="F7" s="36">
        <f>IFERROR(GOOGLEFINANCE($A7,"high52"),)</f>
        <v/>
      </c>
      <c r="G7" s="17">
        <f>IF(N($F7)=0,,$D7/$F7-1)</f>
        <v/>
      </c>
      <c r="H7" s="18">
        <f>IF(N($F7)-N($E7)&lt;=0,,($D7-$E7)/($F7-$E7))</f>
        <v/>
      </c>
      <c r="I7" s="47">
        <f>IFERROR(GOOGLEFINANCE($A7,"pe"),)</f>
        <v/>
      </c>
      <c r="J7" s="51">
        <f>IFERROR(GOOGLEFINANCE($A7,"marketcap")/1E9,)</f>
        <v/>
      </c>
      <c r="K7" s="48">
        <f>IF(N($D7)=0,,IF(AND($G7&lt;=-'Control Center'!$B$17,AND(N($I7)&gt;0,$I7&lt;='Control Center'!$B$18)),"VALUE ZONE",IF($G7&lt;=-'Control Center'!$B$19,"WATCH","—")))</f>
        <v/>
      </c>
      <c r="L7" s="20" t="n"/>
    </row>
    <row r="8">
      <c r="A8" s="15" t="inlineStr">
        <is>
          <t>MU</t>
        </is>
      </c>
      <c r="B8" s="20">
        <f>IFERROR(GOOGLEFINANCE($A8,"name"),)</f>
        <v/>
      </c>
      <c r="C8" s="24" t="inlineStr">
        <is>
          <t>Semis &amp; hardware</t>
        </is>
      </c>
      <c r="D8" s="36">
        <f>IFERROR(GOOGLEFINANCE($A8,"price"),)</f>
        <v/>
      </c>
      <c r="E8" s="36">
        <f>IFERROR(GOOGLEFINANCE($A8,"low52"),)</f>
        <v/>
      </c>
      <c r="F8" s="36">
        <f>IFERROR(GOOGLEFINANCE($A8,"high52"),)</f>
        <v/>
      </c>
      <c r="G8" s="17">
        <f>IF(N($F8)=0,,$D8/$F8-1)</f>
        <v/>
      </c>
      <c r="H8" s="18">
        <f>IF(N($F8)-N($E8)&lt;=0,,($D8-$E8)/($F8-$E8))</f>
        <v/>
      </c>
      <c r="I8" s="47">
        <f>IFERROR(GOOGLEFINANCE($A8,"pe"),)</f>
        <v/>
      </c>
      <c r="J8" s="51">
        <f>IFERROR(GOOGLEFINANCE($A8,"marketcap")/1E9,)</f>
        <v/>
      </c>
      <c r="K8" s="48">
        <f>IF(N($D8)=0,,IF(AND($G8&lt;=-'Control Center'!$B$17,AND(N($I8)&gt;0,$I8&lt;='Control Center'!$B$18)),"VALUE ZONE",IF($G8&lt;=-'Control Center'!$B$19,"WATCH","—")))</f>
        <v/>
      </c>
      <c r="L8" s="20" t="n"/>
    </row>
    <row r="9">
      <c r="A9" s="15" t="inlineStr">
        <is>
          <t>TSM</t>
        </is>
      </c>
      <c r="B9" s="20">
        <f>IFERROR(GOOGLEFINANCE($A9,"name"),)</f>
        <v/>
      </c>
      <c r="C9" s="24" t="inlineStr">
        <is>
          <t>Semis &amp; hardware</t>
        </is>
      </c>
      <c r="D9" s="36">
        <f>IFERROR(GOOGLEFINANCE($A9,"price"),)</f>
        <v/>
      </c>
      <c r="E9" s="36">
        <f>IFERROR(GOOGLEFINANCE($A9,"low52"),)</f>
        <v/>
      </c>
      <c r="F9" s="36">
        <f>IFERROR(GOOGLEFINANCE($A9,"high52"),)</f>
        <v/>
      </c>
      <c r="G9" s="17">
        <f>IF(N($F9)=0,,$D9/$F9-1)</f>
        <v/>
      </c>
      <c r="H9" s="18">
        <f>IF(N($F9)-N($E9)&lt;=0,,($D9-$E9)/($F9-$E9))</f>
        <v/>
      </c>
      <c r="I9" s="47">
        <f>IFERROR(GOOGLEFINANCE($A9,"pe"),)</f>
        <v/>
      </c>
      <c r="J9" s="51">
        <f>IFERROR(GOOGLEFINANCE($A9,"marketcap")/1E9,)</f>
        <v/>
      </c>
      <c r="K9" s="48">
        <f>IF(N($D9)=0,,IF(AND($G9&lt;=-'Control Center'!$B$17,AND(N($I9)&gt;0,$I9&lt;='Control Center'!$B$18)),"VALUE ZONE",IF($G9&lt;=-'Control Center'!$B$19,"WATCH","—")))</f>
        <v/>
      </c>
      <c r="L9" s="20" t="n"/>
    </row>
    <row r="10">
      <c r="A10" s="15" t="inlineStr">
        <is>
          <t>ASML</t>
        </is>
      </c>
      <c r="B10" s="20">
        <f>IFERROR(GOOGLEFINANCE($A10,"name"),)</f>
        <v/>
      </c>
      <c r="C10" s="24" t="inlineStr">
        <is>
          <t>Semis &amp; hardware</t>
        </is>
      </c>
      <c r="D10" s="36">
        <f>IFERROR(GOOGLEFINANCE($A10,"price"),)</f>
        <v/>
      </c>
      <c r="E10" s="36">
        <f>IFERROR(GOOGLEFINANCE($A10,"low52"),)</f>
        <v/>
      </c>
      <c r="F10" s="36">
        <f>IFERROR(GOOGLEFINANCE($A10,"high52"),)</f>
        <v/>
      </c>
      <c r="G10" s="17">
        <f>IF(N($F10)=0,,$D10/$F10-1)</f>
        <v/>
      </c>
      <c r="H10" s="18">
        <f>IF(N($F10)-N($E10)&lt;=0,,($D10-$E10)/($F10-$E10))</f>
        <v/>
      </c>
      <c r="I10" s="47">
        <f>IFERROR(GOOGLEFINANCE($A10,"pe"),)</f>
        <v/>
      </c>
      <c r="J10" s="51">
        <f>IFERROR(GOOGLEFINANCE($A10,"marketcap")/1E9,)</f>
        <v/>
      </c>
      <c r="K10" s="48">
        <f>IF(N($D10)=0,,IF(AND($G10&lt;=-'Control Center'!$B$17,AND(N($I10)&gt;0,$I10&lt;='Control Center'!$B$18)),"VALUE ZONE",IF($G10&lt;=-'Control Center'!$B$19,"WATCH","—")))</f>
        <v/>
      </c>
      <c r="L10" s="20" t="n"/>
    </row>
    <row r="11">
      <c r="A11" s="15" t="inlineStr">
        <is>
          <t>AMAT</t>
        </is>
      </c>
      <c r="B11" s="20">
        <f>IFERROR(GOOGLEFINANCE($A11,"name"),)</f>
        <v/>
      </c>
      <c r="C11" s="24" t="inlineStr">
        <is>
          <t>Semis &amp; hardware</t>
        </is>
      </c>
      <c r="D11" s="36">
        <f>IFERROR(GOOGLEFINANCE($A11,"price"),)</f>
        <v/>
      </c>
      <c r="E11" s="36">
        <f>IFERROR(GOOGLEFINANCE($A11,"low52"),)</f>
        <v/>
      </c>
      <c r="F11" s="36">
        <f>IFERROR(GOOGLEFINANCE($A11,"high52"),)</f>
        <v/>
      </c>
      <c r="G11" s="17">
        <f>IF(N($F11)=0,,$D11/$F11-1)</f>
        <v/>
      </c>
      <c r="H11" s="18">
        <f>IF(N($F11)-N($E11)&lt;=0,,($D11-$E11)/($F11-$E11))</f>
        <v/>
      </c>
      <c r="I11" s="47">
        <f>IFERROR(GOOGLEFINANCE($A11,"pe"),)</f>
        <v/>
      </c>
      <c r="J11" s="51">
        <f>IFERROR(GOOGLEFINANCE($A11,"marketcap")/1E9,)</f>
        <v/>
      </c>
      <c r="K11" s="48">
        <f>IF(N($D11)=0,,IF(AND($G11&lt;=-'Control Center'!$B$17,AND(N($I11)&gt;0,$I11&lt;='Control Center'!$B$18)),"VALUE ZONE",IF($G11&lt;=-'Control Center'!$B$19,"WATCH","—")))</f>
        <v/>
      </c>
      <c r="L11" s="20" t="n"/>
    </row>
    <row r="12">
      <c r="A12" s="15" t="inlineStr">
        <is>
          <t>LRCX</t>
        </is>
      </c>
      <c r="B12" s="20">
        <f>IFERROR(GOOGLEFINANCE($A12,"name"),)</f>
        <v/>
      </c>
      <c r="C12" s="24" t="inlineStr">
        <is>
          <t>Semis &amp; hardware</t>
        </is>
      </c>
      <c r="D12" s="36">
        <f>IFERROR(GOOGLEFINANCE($A12,"price"),)</f>
        <v/>
      </c>
      <c r="E12" s="36">
        <f>IFERROR(GOOGLEFINANCE($A12,"low52"),)</f>
        <v/>
      </c>
      <c r="F12" s="36">
        <f>IFERROR(GOOGLEFINANCE($A12,"high52"),)</f>
        <v/>
      </c>
      <c r="G12" s="17">
        <f>IF(N($F12)=0,,$D12/$F12-1)</f>
        <v/>
      </c>
      <c r="H12" s="18">
        <f>IF(N($F12)-N($E12)&lt;=0,,($D12-$E12)/($F12-$E12))</f>
        <v/>
      </c>
      <c r="I12" s="47">
        <f>IFERROR(GOOGLEFINANCE($A12,"pe"),)</f>
        <v/>
      </c>
      <c r="J12" s="51">
        <f>IFERROR(GOOGLEFINANCE($A12,"marketcap")/1E9,)</f>
        <v/>
      </c>
      <c r="K12" s="48">
        <f>IF(N($D12)=0,,IF(AND($G12&lt;=-'Control Center'!$B$17,AND(N($I12)&gt;0,$I12&lt;='Control Center'!$B$18)),"VALUE ZONE",IF($G12&lt;=-'Control Center'!$B$19,"WATCH","—")))</f>
        <v/>
      </c>
      <c r="L12" s="20" t="n"/>
    </row>
    <row r="13">
      <c r="A13" s="15" t="inlineStr">
        <is>
          <t>KLAC</t>
        </is>
      </c>
      <c r="B13" s="20">
        <f>IFERROR(GOOGLEFINANCE($A13,"name"),)</f>
        <v/>
      </c>
      <c r="C13" s="24" t="inlineStr">
        <is>
          <t>Semis &amp; hardware</t>
        </is>
      </c>
      <c r="D13" s="36">
        <f>IFERROR(GOOGLEFINANCE($A13,"price"),)</f>
        <v/>
      </c>
      <c r="E13" s="36">
        <f>IFERROR(GOOGLEFINANCE($A13,"low52"),)</f>
        <v/>
      </c>
      <c r="F13" s="36">
        <f>IFERROR(GOOGLEFINANCE($A13,"high52"),)</f>
        <v/>
      </c>
      <c r="G13" s="17">
        <f>IF(N($F13)=0,,$D13/$F13-1)</f>
        <v/>
      </c>
      <c r="H13" s="18">
        <f>IF(N($F13)-N($E13)&lt;=0,,($D13-$E13)/($F13-$E13))</f>
        <v/>
      </c>
      <c r="I13" s="47">
        <f>IFERROR(GOOGLEFINANCE($A13,"pe"),)</f>
        <v/>
      </c>
      <c r="J13" s="51">
        <f>IFERROR(GOOGLEFINANCE($A13,"marketcap")/1E9,)</f>
        <v/>
      </c>
      <c r="K13" s="48">
        <f>IF(N($D13)=0,,IF(AND($G13&lt;=-'Control Center'!$B$17,AND(N($I13)&gt;0,$I13&lt;='Control Center'!$B$18)),"VALUE ZONE",IF($G13&lt;=-'Control Center'!$B$19,"WATCH","—")))</f>
        <v/>
      </c>
      <c r="L13" s="20" t="n"/>
    </row>
    <row r="14">
      <c r="A14" s="15" t="inlineStr">
        <is>
          <t>QCOM</t>
        </is>
      </c>
      <c r="B14" s="20">
        <f>IFERROR(GOOGLEFINANCE($A14,"name"),)</f>
        <v/>
      </c>
      <c r="C14" s="24" t="inlineStr">
        <is>
          <t>Semis &amp; hardware</t>
        </is>
      </c>
      <c r="D14" s="36">
        <f>IFERROR(GOOGLEFINANCE($A14,"price"),)</f>
        <v/>
      </c>
      <c r="E14" s="36">
        <f>IFERROR(GOOGLEFINANCE($A14,"low52"),)</f>
        <v/>
      </c>
      <c r="F14" s="36">
        <f>IFERROR(GOOGLEFINANCE($A14,"high52"),)</f>
        <v/>
      </c>
      <c r="G14" s="17">
        <f>IF(N($F14)=0,,$D14/$F14-1)</f>
        <v/>
      </c>
      <c r="H14" s="18">
        <f>IF(N($F14)-N($E14)&lt;=0,,($D14-$E14)/($F14-$E14))</f>
        <v/>
      </c>
      <c r="I14" s="47">
        <f>IFERROR(GOOGLEFINANCE($A14,"pe"),)</f>
        <v/>
      </c>
      <c r="J14" s="51">
        <f>IFERROR(GOOGLEFINANCE($A14,"marketcap")/1E9,)</f>
        <v/>
      </c>
      <c r="K14" s="48">
        <f>IF(N($D14)=0,,IF(AND($G14&lt;=-'Control Center'!$B$17,AND(N($I14)&gt;0,$I14&lt;='Control Center'!$B$18)),"VALUE ZONE",IF($G14&lt;=-'Control Center'!$B$19,"WATCH","—")))</f>
        <v/>
      </c>
      <c r="L14" s="20" t="n"/>
    </row>
    <row r="15">
      <c r="A15" s="15" t="inlineStr">
        <is>
          <t>TXN</t>
        </is>
      </c>
      <c r="B15" s="20">
        <f>IFERROR(GOOGLEFINANCE($A15,"name"),)</f>
        <v/>
      </c>
      <c r="C15" s="24" t="inlineStr">
        <is>
          <t>Semis &amp; hardware</t>
        </is>
      </c>
      <c r="D15" s="36">
        <f>IFERROR(GOOGLEFINANCE($A15,"price"),)</f>
        <v/>
      </c>
      <c r="E15" s="36">
        <f>IFERROR(GOOGLEFINANCE($A15,"low52"),)</f>
        <v/>
      </c>
      <c r="F15" s="36">
        <f>IFERROR(GOOGLEFINANCE($A15,"high52"),)</f>
        <v/>
      </c>
      <c r="G15" s="17">
        <f>IF(N($F15)=0,,$D15/$F15-1)</f>
        <v/>
      </c>
      <c r="H15" s="18">
        <f>IF(N($F15)-N($E15)&lt;=0,,($D15-$E15)/($F15-$E15))</f>
        <v/>
      </c>
      <c r="I15" s="47">
        <f>IFERROR(GOOGLEFINANCE($A15,"pe"),)</f>
        <v/>
      </c>
      <c r="J15" s="51">
        <f>IFERROR(GOOGLEFINANCE($A15,"marketcap")/1E9,)</f>
        <v/>
      </c>
      <c r="K15" s="48">
        <f>IF(N($D15)=0,,IF(AND($G15&lt;=-'Control Center'!$B$17,AND(N($I15)&gt;0,$I15&lt;='Control Center'!$B$18)),"VALUE ZONE",IF($G15&lt;=-'Control Center'!$B$19,"WATCH","—")))</f>
        <v/>
      </c>
      <c r="L15" s="20" t="n"/>
    </row>
    <row r="16">
      <c r="A16" s="15" t="inlineStr">
        <is>
          <t>INTC</t>
        </is>
      </c>
      <c r="B16" s="20">
        <f>IFERROR(GOOGLEFINANCE($A16,"name"),)</f>
        <v/>
      </c>
      <c r="C16" s="24" t="inlineStr">
        <is>
          <t>Semis &amp; hardware</t>
        </is>
      </c>
      <c r="D16" s="36">
        <f>IFERROR(GOOGLEFINANCE($A16,"price"),)</f>
        <v/>
      </c>
      <c r="E16" s="36">
        <f>IFERROR(GOOGLEFINANCE($A16,"low52"),)</f>
        <v/>
      </c>
      <c r="F16" s="36">
        <f>IFERROR(GOOGLEFINANCE($A16,"high52"),)</f>
        <v/>
      </c>
      <c r="G16" s="17">
        <f>IF(N($F16)=0,,$D16/$F16-1)</f>
        <v/>
      </c>
      <c r="H16" s="18">
        <f>IF(N($F16)-N($E16)&lt;=0,,($D16-$E16)/($F16-$E16))</f>
        <v/>
      </c>
      <c r="I16" s="47">
        <f>IFERROR(GOOGLEFINANCE($A16,"pe"),)</f>
        <v/>
      </c>
      <c r="J16" s="51">
        <f>IFERROR(GOOGLEFINANCE($A16,"marketcap")/1E9,)</f>
        <v/>
      </c>
      <c r="K16" s="48">
        <f>IF(N($D16)=0,,IF(AND($G16&lt;=-'Control Center'!$B$17,AND(N($I16)&gt;0,$I16&lt;='Control Center'!$B$18)),"VALUE ZONE",IF($G16&lt;=-'Control Center'!$B$19,"WATCH","—")))</f>
        <v/>
      </c>
      <c r="L16" s="20" t="n"/>
    </row>
    <row r="17">
      <c r="A17" s="15" t="inlineStr">
        <is>
          <t>DELL</t>
        </is>
      </c>
      <c r="B17" s="20">
        <f>IFERROR(GOOGLEFINANCE($A17,"name"),)</f>
        <v/>
      </c>
      <c r="C17" s="24" t="inlineStr">
        <is>
          <t>Semis &amp; hardware</t>
        </is>
      </c>
      <c r="D17" s="36">
        <f>IFERROR(GOOGLEFINANCE($A17,"price"),)</f>
        <v/>
      </c>
      <c r="E17" s="36">
        <f>IFERROR(GOOGLEFINANCE($A17,"low52"),)</f>
        <v/>
      </c>
      <c r="F17" s="36">
        <f>IFERROR(GOOGLEFINANCE($A17,"high52"),)</f>
        <v/>
      </c>
      <c r="G17" s="17">
        <f>IF(N($F17)=0,,$D17/$F17-1)</f>
        <v/>
      </c>
      <c r="H17" s="18">
        <f>IF(N($F17)-N($E17)&lt;=0,,($D17-$E17)/($F17-$E17))</f>
        <v/>
      </c>
      <c r="I17" s="47">
        <f>IFERROR(GOOGLEFINANCE($A17,"pe"),)</f>
        <v/>
      </c>
      <c r="J17" s="51">
        <f>IFERROR(GOOGLEFINANCE($A17,"marketcap")/1E9,)</f>
        <v/>
      </c>
      <c r="K17" s="48">
        <f>IF(N($D17)=0,,IF(AND($G17&lt;=-'Control Center'!$B$17,AND(N($I17)&gt;0,$I17&lt;='Control Center'!$B$18)),"VALUE ZONE",IF($G17&lt;=-'Control Center'!$B$19,"WATCH","—")))</f>
        <v/>
      </c>
      <c r="L17" s="20" t="n"/>
    </row>
    <row r="18">
      <c r="A18" s="15" t="inlineStr">
        <is>
          <t>ANET</t>
        </is>
      </c>
      <c r="B18" s="20">
        <f>IFERROR(GOOGLEFINANCE($A18,"name"),)</f>
        <v/>
      </c>
      <c r="C18" s="24" t="inlineStr">
        <is>
          <t>Semis &amp; hardware</t>
        </is>
      </c>
      <c r="D18" s="36">
        <f>IFERROR(GOOGLEFINANCE($A18,"price"),)</f>
        <v/>
      </c>
      <c r="E18" s="36">
        <f>IFERROR(GOOGLEFINANCE($A18,"low52"),)</f>
        <v/>
      </c>
      <c r="F18" s="36">
        <f>IFERROR(GOOGLEFINANCE($A18,"high52"),)</f>
        <v/>
      </c>
      <c r="G18" s="17">
        <f>IF(N($F18)=0,,$D18/$F18-1)</f>
        <v/>
      </c>
      <c r="H18" s="18">
        <f>IF(N($F18)-N($E18)&lt;=0,,($D18-$E18)/($F18-$E18))</f>
        <v/>
      </c>
      <c r="I18" s="47">
        <f>IFERROR(GOOGLEFINANCE($A18,"pe"),)</f>
        <v/>
      </c>
      <c r="J18" s="51">
        <f>IFERROR(GOOGLEFINANCE($A18,"marketcap")/1E9,)</f>
        <v/>
      </c>
      <c r="K18" s="48">
        <f>IF(N($D18)=0,,IF(AND($G18&lt;=-'Control Center'!$B$17,AND(N($I18)&gt;0,$I18&lt;='Control Center'!$B$18)),"VALUE ZONE",IF($G18&lt;=-'Control Center'!$B$19,"WATCH","—")))</f>
        <v/>
      </c>
      <c r="L18" s="20" t="n"/>
    </row>
    <row r="19">
      <c r="A19" s="15" t="inlineStr">
        <is>
          <t>CSCO</t>
        </is>
      </c>
      <c r="B19" s="20">
        <f>IFERROR(GOOGLEFINANCE($A19,"name"),)</f>
        <v/>
      </c>
      <c r="C19" s="24" t="inlineStr">
        <is>
          <t>Semis &amp; hardware</t>
        </is>
      </c>
      <c r="D19" s="36">
        <f>IFERROR(GOOGLEFINANCE($A19,"price"),)</f>
        <v/>
      </c>
      <c r="E19" s="36">
        <f>IFERROR(GOOGLEFINANCE($A19,"low52"),)</f>
        <v/>
      </c>
      <c r="F19" s="36">
        <f>IFERROR(GOOGLEFINANCE($A19,"high52"),)</f>
        <v/>
      </c>
      <c r="G19" s="17">
        <f>IF(N($F19)=0,,$D19/$F19-1)</f>
        <v/>
      </c>
      <c r="H19" s="18">
        <f>IF(N($F19)-N($E19)&lt;=0,,($D19-$E19)/($F19-$E19))</f>
        <v/>
      </c>
      <c r="I19" s="47">
        <f>IFERROR(GOOGLEFINANCE($A19,"pe"),)</f>
        <v/>
      </c>
      <c r="J19" s="51">
        <f>IFERROR(GOOGLEFINANCE($A19,"marketcap")/1E9,)</f>
        <v/>
      </c>
      <c r="K19" s="48">
        <f>IF(N($D19)=0,,IF(AND($G19&lt;=-'Control Center'!$B$17,AND(N($I19)&gt;0,$I19&lt;='Control Center'!$B$18)),"VALUE ZONE",IF($G19&lt;=-'Control Center'!$B$19,"WATCH","—")))</f>
        <v/>
      </c>
      <c r="L19" s="20" t="n"/>
    </row>
    <row r="20">
      <c r="A20" s="15" t="inlineStr">
        <is>
          <t>MSFT</t>
        </is>
      </c>
      <c r="B20" s="20">
        <f>IFERROR(GOOGLEFINANCE($A20,"name"),)</f>
        <v/>
      </c>
      <c r="C20" s="24" t="inlineStr">
        <is>
          <t>Software &amp; internet</t>
        </is>
      </c>
      <c r="D20" s="36">
        <f>IFERROR(GOOGLEFINANCE($A20,"price"),)</f>
        <v/>
      </c>
      <c r="E20" s="36">
        <f>IFERROR(GOOGLEFINANCE($A20,"low52"),)</f>
        <v/>
      </c>
      <c r="F20" s="36">
        <f>IFERROR(GOOGLEFINANCE($A20,"high52"),)</f>
        <v/>
      </c>
      <c r="G20" s="17">
        <f>IF(N($F20)=0,,$D20/$F20-1)</f>
        <v/>
      </c>
      <c r="H20" s="18">
        <f>IF(N($F20)-N($E20)&lt;=0,,($D20-$E20)/($F20-$E20))</f>
        <v/>
      </c>
      <c r="I20" s="47">
        <f>IFERROR(GOOGLEFINANCE($A20,"pe"),)</f>
        <v/>
      </c>
      <c r="J20" s="51">
        <f>IFERROR(GOOGLEFINANCE($A20,"marketcap")/1E9,)</f>
        <v/>
      </c>
      <c r="K20" s="48">
        <f>IF(N($D20)=0,,IF(AND($G20&lt;=-'Control Center'!$B$17,AND(N($I20)&gt;0,$I20&lt;='Control Center'!$B$18)),"VALUE ZONE",IF($G20&lt;=-'Control Center'!$B$19,"WATCH","—")))</f>
        <v/>
      </c>
      <c r="L20" s="20" t="n"/>
    </row>
    <row r="21">
      <c r="A21" s="15" t="inlineStr">
        <is>
          <t>GOOGL</t>
        </is>
      </c>
      <c r="B21" s="20">
        <f>IFERROR(GOOGLEFINANCE($A21,"name"),)</f>
        <v/>
      </c>
      <c r="C21" s="24" t="inlineStr">
        <is>
          <t>Software &amp; internet</t>
        </is>
      </c>
      <c r="D21" s="36">
        <f>IFERROR(GOOGLEFINANCE($A21,"price"),)</f>
        <v/>
      </c>
      <c r="E21" s="36">
        <f>IFERROR(GOOGLEFINANCE($A21,"low52"),)</f>
        <v/>
      </c>
      <c r="F21" s="36">
        <f>IFERROR(GOOGLEFINANCE($A21,"high52"),)</f>
        <v/>
      </c>
      <c r="G21" s="17">
        <f>IF(N($F21)=0,,$D21/$F21-1)</f>
        <v/>
      </c>
      <c r="H21" s="18">
        <f>IF(N($F21)-N($E21)&lt;=0,,($D21-$E21)/($F21-$E21))</f>
        <v/>
      </c>
      <c r="I21" s="47">
        <f>IFERROR(GOOGLEFINANCE($A21,"pe"),)</f>
        <v/>
      </c>
      <c r="J21" s="51">
        <f>IFERROR(GOOGLEFINANCE($A21,"marketcap")/1E9,)</f>
        <v/>
      </c>
      <c r="K21" s="48">
        <f>IF(N($D21)=0,,IF(AND($G21&lt;=-'Control Center'!$B$17,AND(N($I21)&gt;0,$I21&lt;='Control Center'!$B$18)),"VALUE ZONE",IF($G21&lt;=-'Control Center'!$B$19,"WATCH","—")))</f>
        <v/>
      </c>
      <c r="L21" s="20" t="n"/>
    </row>
    <row r="22">
      <c r="A22" s="15" t="inlineStr">
        <is>
          <t>META</t>
        </is>
      </c>
      <c r="B22" s="20">
        <f>IFERROR(GOOGLEFINANCE($A22,"name"),)</f>
        <v/>
      </c>
      <c r="C22" s="24" t="inlineStr">
        <is>
          <t>Software &amp; internet</t>
        </is>
      </c>
      <c r="D22" s="36">
        <f>IFERROR(GOOGLEFINANCE($A22,"price"),)</f>
        <v/>
      </c>
      <c r="E22" s="36">
        <f>IFERROR(GOOGLEFINANCE($A22,"low52"),)</f>
        <v/>
      </c>
      <c r="F22" s="36">
        <f>IFERROR(GOOGLEFINANCE($A22,"high52"),)</f>
        <v/>
      </c>
      <c r="G22" s="17">
        <f>IF(N($F22)=0,,$D22/$F22-1)</f>
        <v/>
      </c>
      <c r="H22" s="18">
        <f>IF(N($F22)-N($E22)&lt;=0,,($D22-$E22)/($F22-$E22))</f>
        <v/>
      </c>
      <c r="I22" s="47">
        <f>IFERROR(GOOGLEFINANCE($A22,"pe"),)</f>
        <v/>
      </c>
      <c r="J22" s="51">
        <f>IFERROR(GOOGLEFINANCE($A22,"marketcap")/1E9,)</f>
        <v/>
      </c>
      <c r="K22" s="48">
        <f>IF(N($D22)=0,,IF(AND($G22&lt;=-'Control Center'!$B$17,AND(N($I22)&gt;0,$I22&lt;='Control Center'!$B$18)),"VALUE ZONE",IF($G22&lt;=-'Control Center'!$B$19,"WATCH","—")))</f>
        <v/>
      </c>
      <c r="L22" s="20" t="n"/>
    </row>
    <row r="23">
      <c r="A23" s="15" t="inlineStr">
        <is>
          <t>AMZN</t>
        </is>
      </c>
      <c r="B23" s="20">
        <f>IFERROR(GOOGLEFINANCE($A23,"name"),)</f>
        <v/>
      </c>
      <c r="C23" s="24" t="inlineStr">
        <is>
          <t>Software &amp; internet</t>
        </is>
      </c>
      <c r="D23" s="36">
        <f>IFERROR(GOOGLEFINANCE($A23,"price"),)</f>
        <v/>
      </c>
      <c r="E23" s="36">
        <f>IFERROR(GOOGLEFINANCE($A23,"low52"),)</f>
        <v/>
      </c>
      <c r="F23" s="36">
        <f>IFERROR(GOOGLEFINANCE($A23,"high52"),)</f>
        <v/>
      </c>
      <c r="G23" s="17">
        <f>IF(N($F23)=0,,$D23/$F23-1)</f>
        <v/>
      </c>
      <c r="H23" s="18">
        <f>IF(N($F23)-N($E23)&lt;=0,,($D23-$E23)/($F23-$E23))</f>
        <v/>
      </c>
      <c r="I23" s="47">
        <f>IFERROR(GOOGLEFINANCE($A23,"pe"),)</f>
        <v/>
      </c>
      <c r="J23" s="51">
        <f>IFERROR(GOOGLEFINANCE($A23,"marketcap")/1E9,)</f>
        <v/>
      </c>
      <c r="K23" s="48">
        <f>IF(N($D23)=0,,IF(AND($G23&lt;=-'Control Center'!$B$17,AND(N($I23)&gt;0,$I23&lt;='Control Center'!$B$18)),"VALUE ZONE",IF($G23&lt;=-'Control Center'!$B$19,"WATCH","—")))</f>
        <v/>
      </c>
      <c r="L23" s="20" t="n"/>
    </row>
    <row r="24">
      <c r="A24" s="15" t="inlineStr">
        <is>
          <t>AAPL</t>
        </is>
      </c>
      <c r="B24" s="20">
        <f>IFERROR(GOOGLEFINANCE($A24,"name"),)</f>
        <v/>
      </c>
      <c r="C24" s="24" t="inlineStr">
        <is>
          <t>Software &amp; internet</t>
        </is>
      </c>
      <c r="D24" s="36">
        <f>IFERROR(GOOGLEFINANCE($A24,"price"),)</f>
        <v/>
      </c>
      <c r="E24" s="36">
        <f>IFERROR(GOOGLEFINANCE($A24,"low52"),)</f>
        <v/>
      </c>
      <c r="F24" s="36">
        <f>IFERROR(GOOGLEFINANCE($A24,"high52"),)</f>
        <v/>
      </c>
      <c r="G24" s="17">
        <f>IF(N($F24)=0,,$D24/$F24-1)</f>
        <v/>
      </c>
      <c r="H24" s="18">
        <f>IF(N($F24)-N($E24)&lt;=0,,($D24-$E24)/($F24-$E24))</f>
        <v/>
      </c>
      <c r="I24" s="47">
        <f>IFERROR(GOOGLEFINANCE($A24,"pe"),)</f>
        <v/>
      </c>
      <c r="J24" s="51">
        <f>IFERROR(GOOGLEFINANCE($A24,"marketcap")/1E9,)</f>
        <v/>
      </c>
      <c r="K24" s="48">
        <f>IF(N($D24)=0,,IF(AND($G24&lt;=-'Control Center'!$B$17,AND(N($I24)&gt;0,$I24&lt;='Control Center'!$B$18)),"VALUE ZONE",IF($G24&lt;=-'Control Center'!$B$19,"WATCH","—")))</f>
        <v/>
      </c>
      <c r="L24" s="20" t="n"/>
    </row>
    <row r="25">
      <c r="A25" s="15" t="inlineStr">
        <is>
          <t>ORCL</t>
        </is>
      </c>
      <c r="B25" s="20">
        <f>IFERROR(GOOGLEFINANCE($A25,"name"),)</f>
        <v/>
      </c>
      <c r="C25" s="24" t="inlineStr">
        <is>
          <t>Software &amp; internet</t>
        </is>
      </c>
      <c r="D25" s="36">
        <f>IFERROR(GOOGLEFINANCE($A25,"price"),)</f>
        <v/>
      </c>
      <c r="E25" s="36">
        <f>IFERROR(GOOGLEFINANCE($A25,"low52"),)</f>
        <v/>
      </c>
      <c r="F25" s="36">
        <f>IFERROR(GOOGLEFINANCE($A25,"high52"),)</f>
        <v/>
      </c>
      <c r="G25" s="17">
        <f>IF(N($F25)=0,,$D25/$F25-1)</f>
        <v/>
      </c>
      <c r="H25" s="18">
        <f>IF(N($F25)-N($E25)&lt;=0,,($D25-$E25)/($F25-$E25))</f>
        <v/>
      </c>
      <c r="I25" s="47">
        <f>IFERROR(GOOGLEFINANCE($A25,"pe"),)</f>
        <v/>
      </c>
      <c r="J25" s="51">
        <f>IFERROR(GOOGLEFINANCE($A25,"marketcap")/1E9,)</f>
        <v/>
      </c>
      <c r="K25" s="48">
        <f>IF(N($D25)=0,,IF(AND($G25&lt;=-'Control Center'!$B$17,AND(N($I25)&gt;0,$I25&lt;='Control Center'!$B$18)),"VALUE ZONE",IF($G25&lt;=-'Control Center'!$B$19,"WATCH","—")))</f>
        <v/>
      </c>
      <c r="L25" s="20" t="n"/>
    </row>
    <row r="26">
      <c r="A26" s="15" t="inlineStr">
        <is>
          <t>CRM</t>
        </is>
      </c>
      <c r="B26" s="20">
        <f>IFERROR(GOOGLEFINANCE($A26,"name"),)</f>
        <v/>
      </c>
      <c r="C26" s="24" t="inlineStr">
        <is>
          <t>Software &amp; internet</t>
        </is>
      </c>
      <c r="D26" s="36">
        <f>IFERROR(GOOGLEFINANCE($A26,"price"),)</f>
        <v/>
      </c>
      <c r="E26" s="36">
        <f>IFERROR(GOOGLEFINANCE($A26,"low52"),)</f>
        <v/>
      </c>
      <c r="F26" s="36">
        <f>IFERROR(GOOGLEFINANCE($A26,"high52"),)</f>
        <v/>
      </c>
      <c r="G26" s="17">
        <f>IF(N($F26)=0,,$D26/$F26-1)</f>
        <v/>
      </c>
      <c r="H26" s="18">
        <f>IF(N($F26)-N($E26)&lt;=0,,($D26-$E26)/($F26-$E26))</f>
        <v/>
      </c>
      <c r="I26" s="47">
        <f>IFERROR(GOOGLEFINANCE($A26,"pe"),)</f>
        <v/>
      </c>
      <c r="J26" s="51">
        <f>IFERROR(GOOGLEFINANCE($A26,"marketcap")/1E9,)</f>
        <v/>
      </c>
      <c r="K26" s="48">
        <f>IF(N($D26)=0,,IF(AND($G26&lt;=-'Control Center'!$B$17,AND(N($I26)&gt;0,$I26&lt;='Control Center'!$B$18)),"VALUE ZONE",IF($G26&lt;=-'Control Center'!$B$19,"WATCH","—")))</f>
        <v/>
      </c>
      <c r="L26" s="20" t="n"/>
    </row>
    <row r="27">
      <c r="A27" s="15" t="inlineStr">
        <is>
          <t>NOW</t>
        </is>
      </c>
      <c r="B27" s="20">
        <f>IFERROR(GOOGLEFINANCE($A27,"name"),)</f>
        <v/>
      </c>
      <c r="C27" s="24" t="inlineStr">
        <is>
          <t>Software &amp; internet</t>
        </is>
      </c>
      <c r="D27" s="36">
        <f>IFERROR(GOOGLEFINANCE($A27,"price"),)</f>
        <v/>
      </c>
      <c r="E27" s="36">
        <f>IFERROR(GOOGLEFINANCE($A27,"low52"),)</f>
        <v/>
      </c>
      <c r="F27" s="36">
        <f>IFERROR(GOOGLEFINANCE($A27,"high52"),)</f>
        <v/>
      </c>
      <c r="G27" s="17">
        <f>IF(N($F27)=0,,$D27/$F27-1)</f>
        <v/>
      </c>
      <c r="H27" s="18">
        <f>IF(N($F27)-N($E27)&lt;=0,,($D27-$E27)/($F27-$E27))</f>
        <v/>
      </c>
      <c r="I27" s="47">
        <f>IFERROR(GOOGLEFINANCE($A27,"pe"),)</f>
        <v/>
      </c>
      <c r="J27" s="51">
        <f>IFERROR(GOOGLEFINANCE($A27,"marketcap")/1E9,)</f>
        <v/>
      </c>
      <c r="K27" s="48">
        <f>IF(N($D27)=0,,IF(AND($G27&lt;=-'Control Center'!$B$17,AND(N($I27)&gt;0,$I27&lt;='Control Center'!$B$18)),"VALUE ZONE",IF($G27&lt;=-'Control Center'!$B$19,"WATCH","—")))</f>
        <v/>
      </c>
      <c r="L27" s="20" t="n"/>
    </row>
    <row r="28">
      <c r="A28" s="15" t="inlineStr">
        <is>
          <t>ADBE</t>
        </is>
      </c>
      <c r="B28" s="20">
        <f>IFERROR(GOOGLEFINANCE($A28,"name"),)</f>
        <v/>
      </c>
      <c r="C28" s="24" t="inlineStr">
        <is>
          <t>Software &amp; internet</t>
        </is>
      </c>
      <c r="D28" s="36">
        <f>IFERROR(GOOGLEFINANCE($A28,"price"),)</f>
        <v/>
      </c>
      <c r="E28" s="36">
        <f>IFERROR(GOOGLEFINANCE($A28,"low52"),)</f>
        <v/>
      </c>
      <c r="F28" s="36">
        <f>IFERROR(GOOGLEFINANCE($A28,"high52"),)</f>
        <v/>
      </c>
      <c r="G28" s="17">
        <f>IF(N($F28)=0,,$D28/$F28-1)</f>
        <v/>
      </c>
      <c r="H28" s="18">
        <f>IF(N($F28)-N($E28)&lt;=0,,($D28-$E28)/($F28-$E28))</f>
        <v/>
      </c>
      <c r="I28" s="47">
        <f>IFERROR(GOOGLEFINANCE($A28,"pe"),)</f>
        <v/>
      </c>
      <c r="J28" s="51">
        <f>IFERROR(GOOGLEFINANCE($A28,"marketcap")/1E9,)</f>
        <v/>
      </c>
      <c r="K28" s="48">
        <f>IF(N($D28)=0,,IF(AND($G28&lt;=-'Control Center'!$B$17,AND(N($I28)&gt;0,$I28&lt;='Control Center'!$B$18)),"VALUE ZONE",IF($G28&lt;=-'Control Center'!$B$19,"WATCH","—")))</f>
        <v/>
      </c>
      <c r="L28" s="20" t="n"/>
    </row>
    <row r="29">
      <c r="A29" s="15" t="inlineStr">
        <is>
          <t>INTU</t>
        </is>
      </c>
      <c r="B29" s="20">
        <f>IFERROR(GOOGLEFINANCE($A29,"name"),)</f>
        <v/>
      </c>
      <c r="C29" s="24" t="inlineStr">
        <is>
          <t>Software &amp; internet</t>
        </is>
      </c>
      <c r="D29" s="36">
        <f>IFERROR(GOOGLEFINANCE($A29,"price"),)</f>
        <v/>
      </c>
      <c r="E29" s="36">
        <f>IFERROR(GOOGLEFINANCE($A29,"low52"),)</f>
        <v/>
      </c>
      <c r="F29" s="36">
        <f>IFERROR(GOOGLEFINANCE($A29,"high52"),)</f>
        <v/>
      </c>
      <c r="G29" s="17">
        <f>IF(N($F29)=0,,$D29/$F29-1)</f>
        <v/>
      </c>
      <c r="H29" s="18">
        <f>IF(N($F29)-N($E29)&lt;=0,,($D29-$E29)/($F29-$E29))</f>
        <v/>
      </c>
      <c r="I29" s="47">
        <f>IFERROR(GOOGLEFINANCE($A29,"pe"),)</f>
        <v/>
      </c>
      <c r="J29" s="51">
        <f>IFERROR(GOOGLEFINANCE($A29,"marketcap")/1E9,)</f>
        <v/>
      </c>
      <c r="K29" s="48">
        <f>IF(N($D29)=0,,IF(AND($G29&lt;=-'Control Center'!$B$17,AND(N($I29)&gt;0,$I29&lt;='Control Center'!$B$18)),"VALUE ZONE",IF($G29&lt;=-'Control Center'!$B$19,"WATCH","—")))</f>
        <v/>
      </c>
      <c r="L29" s="20" t="n"/>
    </row>
    <row r="30">
      <c r="A30" s="15" t="inlineStr">
        <is>
          <t>PANW</t>
        </is>
      </c>
      <c r="B30" s="20">
        <f>IFERROR(GOOGLEFINANCE($A30,"name"),)</f>
        <v/>
      </c>
      <c r="C30" s="24" t="inlineStr">
        <is>
          <t>Software &amp; internet</t>
        </is>
      </c>
      <c r="D30" s="36">
        <f>IFERROR(GOOGLEFINANCE($A30,"price"),)</f>
        <v/>
      </c>
      <c r="E30" s="36">
        <f>IFERROR(GOOGLEFINANCE($A30,"low52"),)</f>
        <v/>
      </c>
      <c r="F30" s="36">
        <f>IFERROR(GOOGLEFINANCE($A30,"high52"),)</f>
        <v/>
      </c>
      <c r="G30" s="17">
        <f>IF(N($F30)=0,,$D30/$F30-1)</f>
        <v/>
      </c>
      <c r="H30" s="18">
        <f>IF(N($F30)-N($E30)&lt;=0,,($D30-$E30)/($F30-$E30))</f>
        <v/>
      </c>
      <c r="I30" s="47">
        <f>IFERROR(GOOGLEFINANCE($A30,"pe"),)</f>
        <v/>
      </c>
      <c r="J30" s="51">
        <f>IFERROR(GOOGLEFINANCE($A30,"marketcap")/1E9,)</f>
        <v/>
      </c>
      <c r="K30" s="48">
        <f>IF(N($D30)=0,,IF(AND($G30&lt;=-'Control Center'!$B$17,AND(N($I30)&gt;0,$I30&lt;='Control Center'!$B$18)),"VALUE ZONE",IF($G30&lt;=-'Control Center'!$B$19,"WATCH","—")))</f>
        <v/>
      </c>
      <c r="L30" s="20" t="n"/>
    </row>
    <row r="31">
      <c r="A31" s="15" t="inlineStr">
        <is>
          <t>CRWD</t>
        </is>
      </c>
      <c r="B31" s="20">
        <f>IFERROR(GOOGLEFINANCE($A31,"name"),)</f>
        <v/>
      </c>
      <c r="C31" s="24" t="inlineStr">
        <is>
          <t>Software &amp; internet</t>
        </is>
      </c>
      <c r="D31" s="36">
        <f>IFERROR(GOOGLEFINANCE($A31,"price"),)</f>
        <v/>
      </c>
      <c r="E31" s="36">
        <f>IFERROR(GOOGLEFINANCE($A31,"low52"),)</f>
        <v/>
      </c>
      <c r="F31" s="36">
        <f>IFERROR(GOOGLEFINANCE($A31,"high52"),)</f>
        <v/>
      </c>
      <c r="G31" s="17">
        <f>IF(N($F31)=0,,$D31/$F31-1)</f>
        <v/>
      </c>
      <c r="H31" s="18">
        <f>IF(N($F31)-N($E31)&lt;=0,,($D31-$E31)/($F31-$E31))</f>
        <v/>
      </c>
      <c r="I31" s="47">
        <f>IFERROR(GOOGLEFINANCE($A31,"pe"),)</f>
        <v/>
      </c>
      <c r="J31" s="51">
        <f>IFERROR(GOOGLEFINANCE($A31,"marketcap")/1E9,)</f>
        <v/>
      </c>
      <c r="K31" s="48">
        <f>IF(N($D31)=0,,IF(AND($G31&lt;=-'Control Center'!$B$17,AND(N($I31)&gt;0,$I31&lt;='Control Center'!$B$18)),"VALUE ZONE",IF($G31&lt;=-'Control Center'!$B$19,"WATCH","—")))</f>
        <v/>
      </c>
      <c r="L31" s="20" t="n"/>
    </row>
    <row r="32">
      <c r="A32" s="15" t="inlineStr">
        <is>
          <t>SHOP</t>
        </is>
      </c>
      <c r="B32" s="20">
        <f>IFERROR(GOOGLEFINANCE($A32,"name"),)</f>
        <v/>
      </c>
      <c r="C32" s="24" t="inlineStr">
        <is>
          <t>Software &amp; internet</t>
        </is>
      </c>
      <c r="D32" s="36">
        <f>IFERROR(GOOGLEFINANCE($A32,"price"),)</f>
        <v/>
      </c>
      <c r="E32" s="36">
        <f>IFERROR(GOOGLEFINANCE($A32,"low52"),)</f>
        <v/>
      </c>
      <c r="F32" s="36">
        <f>IFERROR(GOOGLEFINANCE($A32,"high52"),)</f>
        <v/>
      </c>
      <c r="G32" s="17">
        <f>IF(N($F32)=0,,$D32/$F32-1)</f>
        <v/>
      </c>
      <c r="H32" s="18">
        <f>IF(N($F32)-N($E32)&lt;=0,,($D32-$E32)/($F32-$E32))</f>
        <v/>
      </c>
      <c r="I32" s="47">
        <f>IFERROR(GOOGLEFINANCE($A32,"pe"),)</f>
        <v/>
      </c>
      <c r="J32" s="51">
        <f>IFERROR(GOOGLEFINANCE($A32,"marketcap")/1E9,)</f>
        <v/>
      </c>
      <c r="K32" s="48">
        <f>IF(N($D32)=0,,IF(AND($G32&lt;=-'Control Center'!$B$17,AND(N($I32)&gt;0,$I32&lt;='Control Center'!$B$18)),"VALUE ZONE",IF($G32&lt;=-'Control Center'!$B$19,"WATCH","—")))</f>
        <v/>
      </c>
      <c r="L32" s="20" t="n"/>
    </row>
    <row r="33">
      <c r="A33" s="15" t="inlineStr">
        <is>
          <t>UBER</t>
        </is>
      </c>
      <c r="B33" s="20">
        <f>IFERROR(GOOGLEFINANCE($A33,"name"),)</f>
        <v/>
      </c>
      <c r="C33" s="24" t="inlineStr">
        <is>
          <t>Software &amp; internet</t>
        </is>
      </c>
      <c r="D33" s="36">
        <f>IFERROR(GOOGLEFINANCE($A33,"price"),)</f>
        <v/>
      </c>
      <c r="E33" s="36">
        <f>IFERROR(GOOGLEFINANCE($A33,"low52"),)</f>
        <v/>
      </c>
      <c r="F33" s="36">
        <f>IFERROR(GOOGLEFINANCE($A33,"high52"),)</f>
        <v/>
      </c>
      <c r="G33" s="17">
        <f>IF(N($F33)=0,,$D33/$F33-1)</f>
        <v/>
      </c>
      <c r="H33" s="18">
        <f>IF(N($F33)-N($E33)&lt;=0,,($D33-$E33)/($F33-$E33))</f>
        <v/>
      </c>
      <c r="I33" s="47">
        <f>IFERROR(GOOGLEFINANCE($A33,"pe"),)</f>
        <v/>
      </c>
      <c r="J33" s="51">
        <f>IFERROR(GOOGLEFINANCE($A33,"marketcap")/1E9,)</f>
        <v/>
      </c>
      <c r="K33" s="48">
        <f>IF(N($D33)=0,,IF(AND($G33&lt;=-'Control Center'!$B$17,AND(N($I33)&gt;0,$I33&lt;='Control Center'!$B$18)),"VALUE ZONE",IF($G33&lt;=-'Control Center'!$B$19,"WATCH","—")))</f>
        <v/>
      </c>
      <c r="L33" s="20" t="n"/>
    </row>
    <row r="34">
      <c r="A34" s="15" t="inlineStr">
        <is>
          <t>BKNG</t>
        </is>
      </c>
      <c r="B34" s="20">
        <f>IFERROR(GOOGLEFINANCE($A34,"name"),)</f>
        <v/>
      </c>
      <c r="C34" s="24" t="inlineStr">
        <is>
          <t>Software &amp; internet</t>
        </is>
      </c>
      <c r="D34" s="36">
        <f>IFERROR(GOOGLEFINANCE($A34,"price"),)</f>
        <v/>
      </c>
      <c r="E34" s="36">
        <f>IFERROR(GOOGLEFINANCE($A34,"low52"),)</f>
        <v/>
      </c>
      <c r="F34" s="36">
        <f>IFERROR(GOOGLEFINANCE($A34,"high52"),)</f>
        <v/>
      </c>
      <c r="G34" s="17">
        <f>IF(N($F34)=0,,$D34/$F34-1)</f>
        <v/>
      </c>
      <c r="H34" s="18">
        <f>IF(N($F34)-N($E34)&lt;=0,,($D34-$E34)/($F34-$E34))</f>
        <v/>
      </c>
      <c r="I34" s="47">
        <f>IFERROR(GOOGLEFINANCE($A34,"pe"),)</f>
        <v/>
      </c>
      <c r="J34" s="51">
        <f>IFERROR(GOOGLEFINANCE($A34,"marketcap")/1E9,)</f>
        <v/>
      </c>
      <c r="K34" s="48">
        <f>IF(N($D34)=0,,IF(AND($G34&lt;=-'Control Center'!$B$17,AND(N($I34)&gt;0,$I34&lt;='Control Center'!$B$18)),"VALUE ZONE",IF($G34&lt;=-'Control Center'!$B$19,"WATCH","—")))</f>
        <v/>
      </c>
      <c r="L34" s="20" t="n"/>
    </row>
    <row r="35">
      <c r="A35" s="15" t="inlineStr">
        <is>
          <t>SPOT</t>
        </is>
      </c>
      <c r="B35" s="20">
        <f>IFERROR(GOOGLEFINANCE($A35,"name"),)</f>
        <v/>
      </c>
      <c r="C35" s="24" t="inlineStr">
        <is>
          <t>Software &amp; internet</t>
        </is>
      </c>
      <c r="D35" s="36">
        <f>IFERROR(GOOGLEFINANCE($A35,"price"),)</f>
        <v/>
      </c>
      <c r="E35" s="36">
        <f>IFERROR(GOOGLEFINANCE($A35,"low52"),)</f>
        <v/>
      </c>
      <c r="F35" s="36">
        <f>IFERROR(GOOGLEFINANCE($A35,"high52"),)</f>
        <v/>
      </c>
      <c r="G35" s="17">
        <f>IF(N($F35)=0,,$D35/$F35-1)</f>
        <v/>
      </c>
      <c r="H35" s="18">
        <f>IF(N($F35)-N($E35)&lt;=0,,($D35-$E35)/($F35-$E35))</f>
        <v/>
      </c>
      <c r="I35" s="47">
        <f>IFERROR(GOOGLEFINANCE($A35,"pe"),)</f>
        <v/>
      </c>
      <c r="J35" s="51">
        <f>IFERROR(GOOGLEFINANCE($A35,"marketcap")/1E9,)</f>
        <v/>
      </c>
      <c r="K35" s="48">
        <f>IF(N($D35)=0,,IF(AND($G35&lt;=-'Control Center'!$B$17,AND(N($I35)&gt;0,$I35&lt;='Control Center'!$B$18)),"VALUE ZONE",IF($G35&lt;=-'Control Center'!$B$19,"WATCH","—")))</f>
        <v/>
      </c>
      <c r="L35" s="20" t="n"/>
    </row>
    <row r="36">
      <c r="A36" s="15" t="inlineStr">
        <is>
          <t>NFLX</t>
        </is>
      </c>
      <c r="B36" s="20">
        <f>IFERROR(GOOGLEFINANCE($A36,"name"),)</f>
        <v/>
      </c>
      <c r="C36" s="24" t="inlineStr">
        <is>
          <t>Media &amp; telecom</t>
        </is>
      </c>
      <c r="D36" s="36">
        <f>IFERROR(GOOGLEFINANCE($A36,"price"),)</f>
        <v/>
      </c>
      <c r="E36" s="36">
        <f>IFERROR(GOOGLEFINANCE($A36,"low52"),)</f>
        <v/>
      </c>
      <c r="F36" s="36">
        <f>IFERROR(GOOGLEFINANCE($A36,"high52"),)</f>
        <v/>
      </c>
      <c r="G36" s="17">
        <f>IF(N($F36)=0,,$D36/$F36-1)</f>
        <v/>
      </c>
      <c r="H36" s="18">
        <f>IF(N($F36)-N($E36)&lt;=0,,($D36-$E36)/($F36-$E36))</f>
        <v/>
      </c>
      <c r="I36" s="47">
        <f>IFERROR(GOOGLEFINANCE($A36,"pe"),)</f>
        <v/>
      </c>
      <c r="J36" s="51">
        <f>IFERROR(GOOGLEFINANCE($A36,"marketcap")/1E9,)</f>
        <v/>
      </c>
      <c r="K36" s="48">
        <f>IF(N($D36)=0,,IF(AND($G36&lt;=-'Control Center'!$B$17,AND(N($I36)&gt;0,$I36&lt;='Control Center'!$B$18)),"VALUE ZONE",IF($G36&lt;=-'Control Center'!$B$19,"WATCH","—")))</f>
        <v/>
      </c>
      <c r="L36" s="20" t="n"/>
    </row>
    <row r="37">
      <c r="A37" s="15" t="inlineStr">
        <is>
          <t>DIS</t>
        </is>
      </c>
      <c r="B37" s="20">
        <f>IFERROR(GOOGLEFINANCE($A37,"name"),)</f>
        <v/>
      </c>
      <c r="C37" s="24" t="inlineStr">
        <is>
          <t>Media &amp; telecom</t>
        </is>
      </c>
      <c r="D37" s="36">
        <f>IFERROR(GOOGLEFINANCE($A37,"price"),)</f>
        <v/>
      </c>
      <c r="E37" s="36">
        <f>IFERROR(GOOGLEFINANCE($A37,"low52"),)</f>
        <v/>
      </c>
      <c r="F37" s="36">
        <f>IFERROR(GOOGLEFINANCE($A37,"high52"),)</f>
        <v/>
      </c>
      <c r="G37" s="17">
        <f>IF(N($F37)=0,,$D37/$F37-1)</f>
        <v/>
      </c>
      <c r="H37" s="18">
        <f>IF(N($F37)-N($E37)&lt;=0,,($D37-$E37)/($F37-$E37))</f>
        <v/>
      </c>
      <c r="I37" s="47">
        <f>IFERROR(GOOGLEFINANCE($A37,"pe"),)</f>
        <v/>
      </c>
      <c r="J37" s="51">
        <f>IFERROR(GOOGLEFINANCE($A37,"marketcap")/1E9,)</f>
        <v/>
      </c>
      <c r="K37" s="48">
        <f>IF(N($D37)=0,,IF(AND($G37&lt;=-'Control Center'!$B$17,AND(N($I37)&gt;0,$I37&lt;='Control Center'!$B$18)),"VALUE ZONE",IF($G37&lt;=-'Control Center'!$B$19,"WATCH","—")))</f>
        <v/>
      </c>
      <c r="L37" s="20" t="n"/>
    </row>
    <row r="38">
      <c r="A38" s="15" t="inlineStr">
        <is>
          <t>CMCSA</t>
        </is>
      </c>
      <c r="B38" s="20">
        <f>IFERROR(GOOGLEFINANCE($A38,"name"),)</f>
        <v/>
      </c>
      <c r="C38" s="24" t="inlineStr">
        <is>
          <t>Media &amp; telecom</t>
        </is>
      </c>
      <c r="D38" s="36">
        <f>IFERROR(GOOGLEFINANCE($A38,"price"),)</f>
        <v/>
      </c>
      <c r="E38" s="36">
        <f>IFERROR(GOOGLEFINANCE($A38,"low52"),)</f>
        <v/>
      </c>
      <c r="F38" s="36">
        <f>IFERROR(GOOGLEFINANCE($A38,"high52"),)</f>
        <v/>
      </c>
      <c r="G38" s="17">
        <f>IF(N($F38)=0,,$D38/$F38-1)</f>
        <v/>
      </c>
      <c r="H38" s="18">
        <f>IF(N($F38)-N($E38)&lt;=0,,($D38-$E38)/($F38-$E38))</f>
        <v/>
      </c>
      <c r="I38" s="47">
        <f>IFERROR(GOOGLEFINANCE($A38,"pe"),)</f>
        <v/>
      </c>
      <c r="J38" s="51">
        <f>IFERROR(GOOGLEFINANCE($A38,"marketcap")/1E9,)</f>
        <v/>
      </c>
      <c r="K38" s="48">
        <f>IF(N($D38)=0,,IF(AND($G38&lt;=-'Control Center'!$B$17,AND(N($I38)&gt;0,$I38&lt;='Control Center'!$B$18)),"VALUE ZONE",IF($G38&lt;=-'Control Center'!$B$19,"WATCH","—")))</f>
        <v/>
      </c>
      <c r="L38" s="20" t="n"/>
    </row>
    <row r="39">
      <c r="A39" s="15" t="inlineStr">
        <is>
          <t>VZ</t>
        </is>
      </c>
      <c r="B39" s="20">
        <f>IFERROR(GOOGLEFINANCE($A39,"name"),)</f>
        <v/>
      </c>
      <c r="C39" s="24" t="inlineStr">
        <is>
          <t>Media &amp; telecom</t>
        </is>
      </c>
      <c r="D39" s="36">
        <f>IFERROR(GOOGLEFINANCE($A39,"price"),)</f>
        <v/>
      </c>
      <c r="E39" s="36">
        <f>IFERROR(GOOGLEFINANCE($A39,"low52"),)</f>
        <v/>
      </c>
      <c r="F39" s="36">
        <f>IFERROR(GOOGLEFINANCE($A39,"high52"),)</f>
        <v/>
      </c>
      <c r="G39" s="17">
        <f>IF(N($F39)=0,,$D39/$F39-1)</f>
        <v/>
      </c>
      <c r="H39" s="18">
        <f>IF(N($F39)-N($E39)&lt;=0,,($D39-$E39)/($F39-$E39))</f>
        <v/>
      </c>
      <c r="I39" s="47">
        <f>IFERROR(GOOGLEFINANCE($A39,"pe"),)</f>
        <v/>
      </c>
      <c r="J39" s="51">
        <f>IFERROR(GOOGLEFINANCE($A39,"marketcap")/1E9,)</f>
        <v/>
      </c>
      <c r="K39" s="48">
        <f>IF(N($D39)=0,,IF(AND($G39&lt;=-'Control Center'!$B$17,AND(N($I39)&gt;0,$I39&lt;='Control Center'!$B$18)),"VALUE ZONE",IF($G39&lt;=-'Control Center'!$B$19,"WATCH","—")))</f>
        <v/>
      </c>
      <c r="L39" s="20" t="n"/>
    </row>
    <row r="40">
      <c r="A40" s="15" t="inlineStr">
        <is>
          <t>T</t>
        </is>
      </c>
      <c r="B40" s="20">
        <f>IFERROR(GOOGLEFINANCE($A40,"name"),)</f>
        <v/>
      </c>
      <c r="C40" s="24" t="inlineStr">
        <is>
          <t>Media &amp; telecom</t>
        </is>
      </c>
      <c r="D40" s="36">
        <f>IFERROR(GOOGLEFINANCE($A40,"price"),)</f>
        <v/>
      </c>
      <c r="E40" s="36">
        <f>IFERROR(GOOGLEFINANCE($A40,"low52"),)</f>
        <v/>
      </c>
      <c r="F40" s="36">
        <f>IFERROR(GOOGLEFINANCE($A40,"high52"),)</f>
        <v/>
      </c>
      <c r="G40" s="17">
        <f>IF(N($F40)=0,,$D40/$F40-1)</f>
        <v/>
      </c>
      <c r="H40" s="18">
        <f>IF(N($F40)-N($E40)&lt;=0,,($D40-$E40)/($F40-$E40))</f>
        <v/>
      </c>
      <c r="I40" s="47">
        <f>IFERROR(GOOGLEFINANCE($A40,"pe"),)</f>
        <v/>
      </c>
      <c r="J40" s="51">
        <f>IFERROR(GOOGLEFINANCE($A40,"marketcap")/1E9,)</f>
        <v/>
      </c>
      <c r="K40" s="48">
        <f>IF(N($D40)=0,,IF(AND($G40&lt;=-'Control Center'!$B$17,AND(N($I40)&gt;0,$I40&lt;='Control Center'!$B$18)),"VALUE ZONE",IF($G40&lt;=-'Control Center'!$B$19,"WATCH","—")))</f>
        <v/>
      </c>
      <c r="L40" s="20" t="n"/>
    </row>
    <row r="41">
      <c r="A41" s="15" t="inlineStr">
        <is>
          <t>EA</t>
        </is>
      </c>
      <c r="B41" s="20">
        <f>IFERROR(GOOGLEFINANCE($A41,"name"),)</f>
        <v/>
      </c>
      <c r="C41" s="24" t="inlineStr">
        <is>
          <t>Media &amp; telecom</t>
        </is>
      </c>
      <c r="D41" s="36">
        <f>IFERROR(GOOGLEFINANCE($A41,"price"),)</f>
        <v/>
      </c>
      <c r="E41" s="36">
        <f>IFERROR(GOOGLEFINANCE($A41,"low52"),)</f>
        <v/>
      </c>
      <c r="F41" s="36">
        <f>IFERROR(GOOGLEFINANCE($A41,"high52"),)</f>
        <v/>
      </c>
      <c r="G41" s="17">
        <f>IF(N($F41)=0,,$D41/$F41-1)</f>
        <v/>
      </c>
      <c r="H41" s="18">
        <f>IF(N($F41)-N($E41)&lt;=0,,($D41-$E41)/($F41-$E41))</f>
        <v/>
      </c>
      <c r="I41" s="47">
        <f>IFERROR(GOOGLEFINANCE($A41,"pe"),)</f>
        <v/>
      </c>
      <c r="J41" s="51">
        <f>IFERROR(GOOGLEFINANCE($A41,"marketcap")/1E9,)</f>
        <v/>
      </c>
      <c r="K41" s="48">
        <f>IF(N($D41)=0,,IF(AND($G41&lt;=-'Control Center'!$B$17,AND(N($I41)&gt;0,$I41&lt;='Control Center'!$B$18)),"VALUE ZONE",IF($G41&lt;=-'Control Center'!$B$19,"WATCH","—")))</f>
        <v/>
      </c>
      <c r="L41" s="20" t="n"/>
    </row>
    <row r="42">
      <c r="A42" s="15" t="inlineStr">
        <is>
          <t>LLY</t>
        </is>
      </c>
      <c r="B42" s="20">
        <f>IFERROR(GOOGLEFINANCE($A42,"name"),)</f>
        <v/>
      </c>
      <c r="C42" s="24" t="inlineStr">
        <is>
          <t>Healthcare</t>
        </is>
      </c>
      <c r="D42" s="36">
        <f>IFERROR(GOOGLEFINANCE($A42,"price"),)</f>
        <v/>
      </c>
      <c r="E42" s="36">
        <f>IFERROR(GOOGLEFINANCE($A42,"low52"),)</f>
        <v/>
      </c>
      <c r="F42" s="36">
        <f>IFERROR(GOOGLEFINANCE($A42,"high52"),)</f>
        <v/>
      </c>
      <c r="G42" s="17">
        <f>IF(N($F42)=0,,$D42/$F42-1)</f>
        <v/>
      </c>
      <c r="H42" s="18">
        <f>IF(N($F42)-N($E42)&lt;=0,,($D42-$E42)/($F42-$E42))</f>
        <v/>
      </c>
      <c r="I42" s="47">
        <f>IFERROR(GOOGLEFINANCE($A42,"pe"),)</f>
        <v/>
      </c>
      <c r="J42" s="51">
        <f>IFERROR(GOOGLEFINANCE($A42,"marketcap")/1E9,)</f>
        <v/>
      </c>
      <c r="K42" s="48">
        <f>IF(N($D42)=0,,IF(AND($G42&lt;=-'Control Center'!$B$17,AND(N($I42)&gt;0,$I42&lt;='Control Center'!$B$18)),"VALUE ZONE",IF($G42&lt;=-'Control Center'!$B$19,"WATCH","—")))</f>
        <v/>
      </c>
      <c r="L42" s="20" t="n"/>
    </row>
    <row r="43">
      <c r="A43" s="15" t="inlineStr">
        <is>
          <t>NVO</t>
        </is>
      </c>
      <c r="B43" s="20">
        <f>IFERROR(GOOGLEFINANCE($A43,"name"),)</f>
        <v/>
      </c>
      <c r="C43" s="24" t="inlineStr">
        <is>
          <t>Healthcare</t>
        </is>
      </c>
      <c r="D43" s="36">
        <f>IFERROR(GOOGLEFINANCE($A43,"price"),)</f>
        <v/>
      </c>
      <c r="E43" s="36">
        <f>IFERROR(GOOGLEFINANCE($A43,"low52"),)</f>
        <v/>
      </c>
      <c r="F43" s="36">
        <f>IFERROR(GOOGLEFINANCE($A43,"high52"),)</f>
        <v/>
      </c>
      <c r="G43" s="17">
        <f>IF(N($F43)=0,,$D43/$F43-1)</f>
        <v/>
      </c>
      <c r="H43" s="18">
        <f>IF(N($F43)-N($E43)&lt;=0,,($D43-$E43)/($F43-$E43))</f>
        <v/>
      </c>
      <c r="I43" s="47">
        <f>IFERROR(GOOGLEFINANCE($A43,"pe"),)</f>
        <v/>
      </c>
      <c r="J43" s="51">
        <f>IFERROR(GOOGLEFINANCE($A43,"marketcap")/1E9,)</f>
        <v/>
      </c>
      <c r="K43" s="48">
        <f>IF(N($D43)=0,,IF(AND($G43&lt;=-'Control Center'!$B$17,AND(N($I43)&gt;0,$I43&lt;='Control Center'!$B$18)),"VALUE ZONE",IF($G43&lt;=-'Control Center'!$B$19,"WATCH","—")))</f>
        <v/>
      </c>
      <c r="L43" s="20" t="n"/>
    </row>
    <row r="44">
      <c r="A44" s="15" t="inlineStr">
        <is>
          <t>UNH</t>
        </is>
      </c>
      <c r="B44" s="20">
        <f>IFERROR(GOOGLEFINANCE($A44,"name"),)</f>
        <v/>
      </c>
      <c r="C44" s="24" t="inlineStr">
        <is>
          <t>Healthcare</t>
        </is>
      </c>
      <c r="D44" s="36">
        <f>IFERROR(GOOGLEFINANCE($A44,"price"),)</f>
        <v/>
      </c>
      <c r="E44" s="36">
        <f>IFERROR(GOOGLEFINANCE($A44,"low52"),)</f>
        <v/>
      </c>
      <c r="F44" s="36">
        <f>IFERROR(GOOGLEFINANCE($A44,"high52"),)</f>
        <v/>
      </c>
      <c r="G44" s="17">
        <f>IF(N($F44)=0,,$D44/$F44-1)</f>
        <v/>
      </c>
      <c r="H44" s="18">
        <f>IF(N($F44)-N($E44)&lt;=0,,($D44-$E44)/($F44-$E44))</f>
        <v/>
      </c>
      <c r="I44" s="47">
        <f>IFERROR(GOOGLEFINANCE($A44,"pe"),)</f>
        <v/>
      </c>
      <c r="J44" s="51">
        <f>IFERROR(GOOGLEFINANCE($A44,"marketcap")/1E9,)</f>
        <v/>
      </c>
      <c r="K44" s="48">
        <f>IF(N($D44)=0,,IF(AND($G44&lt;=-'Control Center'!$B$17,AND(N($I44)&gt;0,$I44&lt;='Control Center'!$B$18)),"VALUE ZONE",IF($G44&lt;=-'Control Center'!$B$19,"WATCH","—")))</f>
        <v/>
      </c>
      <c r="L44" s="20" t="n"/>
    </row>
    <row r="45">
      <c r="A45" s="15" t="inlineStr">
        <is>
          <t>ELV</t>
        </is>
      </c>
      <c r="B45" s="20">
        <f>IFERROR(GOOGLEFINANCE($A45,"name"),)</f>
        <v/>
      </c>
      <c r="C45" s="24" t="inlineStr">
        <is>
          <t>Healthcare</t>
        </is>
      </c>
      <c r="D45" s="36">
        <f>IFERROR(GOOGLEFINANCE($A45,"price"),)</f>
        <v/>
      </c>
      <c r="E45" s="36">
        <f>IFERROR(GOOGLEFINANCE($A45,"low52"),)</f>
        <v/>
      </c>
      <c r="F45" s="36">
        <f>IFERROR(GOOGLEFINANCE($A45,"high52"),)</f>
        <v/>
      </c>
      <c r="G45" s="17">
        <f>IF(N($F45)=0,,$D45/$F45-1)</f>
        <v/>
      </c>
      <c r="H45" s="18">
        <f>IF(N($F45)-N($E45)&lt;=0,,($D45-$E45)/($F45-$E45))</f>
        <v/>
      </c>
      <c r="I45" s="47">
        <f>IFERROR(GOOGLEFINANCE($A45,"pe"),)</f>
        <v/>
      </c>
      <c r="J45" s="51">
        <f>IFERROR(GOOGLEFINANCE($A45,"marketcap")/1E9,)</f>
        <v/>
      </c>
      <c r="K45" s="48">
        <f>IF(N($D45)=0,,IF(AND($G45&lt;=-'Control Center'!$B$17,AND(N($I45)&gt;0,$I45&lt;='Control Center'!$B$18)),"VALUE ZONE",IF($G45&lt;=-'Control Center'!$B$19,"WATCH","—")))</f>
        <v/>
      </c>
      <c r="L45" s="20" t="n"/>
    </row>
    <row r="46">
      <c r="A46" s="15" t="inlineStr">
        <is>
          <t>CI</t>
        </is>
      </c>
      <c r="B46" s="20">
        <f>IFERROR(GOOGLEFINANCE($A46,"name"),)</f>
        <v/>
      </c>
      <c r="C46" s="24" t="inlineStr">
        <is>
          <t>Healthcare</t>
        </is>
      </c>
      <c r="D46" s="36">
        <f>IFERROR(GOOGLEFINANCE($A46,"price"),)</f>
        <v/>
      </c>
      <c r="E46" s="36">
        <f>IFERROR(GOOGLEFINANCE($A46,"low52"),)</f>
        <v/>
      </c>
      <c r="F46" s="36">
        <f>IFERROR(GOOGLEFINANCE($A46,"high52"),)</f>
        <v/>
      </c>
      <c r="G46" s="17">
        <f>IF(N($F46)=0,,$D46/$F46-1)</f>
        <v/>
      </c>
      <c r="H46" s="18">
        <f>IF(N($F46)-N($E46)&lt;=0,,($D46-$E46)/($F46-$E46))</f>
        <v/>
      </c>
      <c r="I46" s="47">
        <f>IFERROR(GOOGLEFINANCE($A46,"pe"),)</f>
        <v/>
      </c>
      <c r="J46" s="51">
        <f>IFERROR(GOOGLEFINANCE($A46,"marketcap")/1E9,)</f>
        <v/>
      </c>
      <c r="K46" s="48">
        <f>IF(N($D46)=0,,IF(AND($G46&lt;=-'Control Center'!$B$17,AND(N($I46)&gt;0,$I46&lt;='Control Center'!$B$18)),"VALUE ZONE",IF($G46&lt;=-'Control Center'!$B$19,"WATCH","—")))</f>
        <v/>
      </c>
      <c r="L46" s="20" t="n"/>
    </row>
    <row r="47">
      <c r="A47" s="15" t="inlineStr">
        <is>
          <t>CVS</t>
        </is>
      </c>
      <c r="B47" s="20">
        <f>IFERROR(GOOGLEFINANCE($A47,"name"),)</f>
        <v/>
      </c>
      <c r="C47" s="24" t="inlineStr">
        <is>
          <t>Healthcare</t>
        </is>
      </c>
      <c r="D47" s="36">
        <f>IFERROR(GOOGLEFINANCE($A47,"price"),)</f>
        <v/>
      </c>
      <c r="E47" s="36">
        <f>IFERROR(GOOGLEFINANCE($A47,"low52"),)</f>
        <v/>
      </c>
      <c r="F47" s="36">
        <f>IFERROR(GOOGLEFINANCE($A47,"high52"),)</f>
        <v/>
      </c>
      <c r="G47" s="17">
        <f>IF(N($F47)=0,,$D47/$F47-1)</f>
        <v/>
      </c>
      <c r="H47" s="18">
        <f>IF(N($F47)-N($E47)&lt;=0,,($D47-$E47)/($F47-$E47))</f>
        <v/>
      </c>
      <c r="I47" s="47">
        <f>IFERROR(GOOGLEFINANCE($A47,"pe"),)</f>
        <v/>
      </c>
      <c r="J47" s="51">
        <f>IFERROR(GOOGLEFINANCE($A47,"marketcap")/1E9,)</f>
        <v/>
      </c>
      <c r="K47" s="48">
        <f>IF(N($D47)=0,,IF(AND($G47&lt;=-'Control Center'!$B$17,AND(N($I47)&gt;0,$I47&lt;='Control Center'!$B$18)),"VALUE ZONE",IF($G47&lt;=-'Control Center'!$B$19,"WATCH","—")))</f>
        <v/>
      </c>
      <c r="L47" s="20" t="n"/>
    </row>
    <row r="48">
      <c r="A48" s="15" t="inlineStr">
        <is>
          <t>ABT</t>
        </is>
      </c>
      <c r="B48" s="20">
        <f>IFERROR(GOOGLEFINANCE($A48,"name"),)</f>
        <v/>
      </c>
      <c r="C48" s="24" t="inlineStr">
        <is>
          <t>Healthcare</t>
        </is>
      </c>
      <c r="D48" s="36">
        <f>IFERROR(GOOGLEFINANCE($A48,"price"),)</f>
        <v/>
      </c>
      <c r="E48" s="36">
        <f>IFERROR(GOOGLEFINANCE($A48,"low52"),)</f>
        <v/>
      </c>
      <c r="F48" s="36">
        <f>IFERROR(GOOGLEFINANCE($A48,"high52"),)</f>
        <v/>
      </c>
      <c r="G48" s="17">
        <f>IF(N($F48)=0,,$D48/$F48-1)</f>
        <v/>
      </c>
      <c r="H48" s="18">
        <f>IF(N($F48)-N($E48)&lt;=0,,($D48-$E48)/($F48-$E48))</f>
        <v/>
      </c>
      <c r="I48" s="47">
        <f>IFERROR(GOOGLEFINANCE($A48,"pe"),)</f>
        <v/>
      </c>
      <c r="J48" s="51">
        <f>IFERROR(GOOGLEFINANCE($A48,"marketcap")/1E9,)</f>
        <v/>
      </c>
      <c r="K48" s="48">
        <f>IF(N($D48)=0,,IF(AND($G48&lt;=-'Control Center'!$B$17,AND(N($I48)&gt;0,$I48&lt;='Control Center'!$B$18)),"VALUE ZONE",IF($G48&lt;=-'Control Center'!$B$19,"WATCH","—")))</f>
        <v/>
      </c>
      <c r="L48" s="20" t="n"/>
    </row>
    <row r="49">
      <c r="A49" s="15" t="inlineStr">
        <is>
          <t>MDT</t>
        </is>
      </c>
      <c r="B49" s="20">
        <f>IFERROR(GOOGLEFINANCE($A49,"name"),)</f>
        <v/>
      </c>
      <c r="C49" s="24" t="inlineStr">
        <is>
          <t>Healthcare</t>
        </is>
      </c>
      <c r="D49" s="36">
        <f>IFERROR(GOOGLEFINANCE($A49,"price"),)</f>
        <v/>
      </c>
      <c r="E49" s="36">
        <f>IFERROR(GOOGLEFINANCE($A49,"low52"),)</f>
        <v/>
      </c>
      <c r="F49" s="36">
        <f>IFERROR(GOOGLEFINANCE($A49,"high52"),)</f>
        <v/>
      </c>
      <c r="G49" s="17">
        <f>IF(N($F49)=0,,$D49/$F49-1)</f>
        <v/>
      </c>
      <c r="H49" s="18">
        <f>IF(N($F49)-N($E49)&lt;=0,,($D49-$E49)/($F49-$E49))</f>
        <v/>
      </c>
      <c r="I49" s="47">
        <f>IFERROR(GOOGLEFINANCE($A49,"pe"),)</f>
        <v/>
      </c>
      <c r="J49" s="51">
        <f>IFERROR(GOOGLEFINANCE($A49,"marketcap")/1E9,)</f>
        <v/>
      </c>
      <c r="K49" s="48">
        <f>IF(N($D49)=0,,IF(AND($G49&lt;=-'Control Center'!$B$17,AND(N($I49)&gt;0,$I49&lt;='Control Center'!$B$18)),"VALUE ZONE",IF($G49&lt;=-'Control Center'!$B$19,"WATCH","—")))</f>
        <v/>
      </c>
      <c r="L49" s="20" t="n"/>
    </row>
    <row r="50">
      <c r="A50" s="15" t="inlineStr">
        <is>
          <t>BSX</t>
        </is>
      </c>
      <c r="B50" s="20">
        <f>IFERROR(GOOGLEFINANCE($A50,"name"),)</f>
        <v/>
      </c>
      <c r="C50" s="24" t="inlineStr">
        <is>
          <t>Healthcare</t>
        </is>
      </c>
      <c r="D50" s="36">
        <f>IFERROR(GOOGLEFINANCE($A50,"price"),)</f>
        <v/>
      </c>
      <c r="E50" s="36">
        <f>IFERROR(GOOGLEFINANCE($A50,"low52"),)</f>
        <v/>
      </c>
      <c r="F50" s="36">
        <f>IFERROR(GOOGLEFINANCE($A50,"high52"),)</f>
        <v/>
      </c>
      <c r="G50" s="17">
        <f>IF(N($F50)=0,,$D50/$F50-1)</f>
        <v/>
      </c>
      <c r="H50" s="18">
        <f>IF(N($F50)-N($E50)&lt;=0,,($D50-$E50)/($F50-$E50))</f>
        <v/>
      </c>
      <c r="I50" s="47">
        <f>IFERROR(GOOGLEFINANCE($A50,"pe"),)</f>
        <v/>
      </c>
      <c r="J50" s="51">
        <f>IFERROR(GOOGLEFINANCE($A50,"marketcap")/1E9,)</f>
        <v/>
      </c>
      <c r="K50" s="48">
        <f>IF(N($D50)=0,,IF(AND($G50&lt;=-'Control Center'!$B$17,AND(N($I50)&gt;0,$I50&lt;='Control Center'!$B$18)),"VALUE ZONE",IF($G50&lt;=-'Control Center'!$B$19,"WATCH","—")))</f>
        <v/>
      </c>
      <c r="L50" s="20" t="n"/>
    </row>
    <row r="51">
      <c r="A51" s="15" t="inlineStr">
        <is>
          <t>SYK</t>
        </is>
      </c>
      <c r="B51" s="20">
        <f>IFERROR(GOOGLEFINANCE($A51,"name"),)</f>
        <v/>
      </c>
      <c r="C51" s="24" t="inlineStr">
        <is>
          <t>Healthcare</t>
        </is>
      </c>
      <c r="D51" s="36">
        <f>IFERROR(GOOGLEFINANCE($A51,"price"),)</f>
        <v/>
      </c>
      <c r="E51" s="36">
        <f>IFERROR(GOOGLEFINANCE($A51,"low52"),)</f>
        <v/>
      </c>
      <c r="F51" s="36">
        <f>IFERROR(GOOGLEFINANCE($A51,"high52"),)</f>
        <v/>
      </c>
      <c r="G51" s="17">
        <f>IF(N($F51)=0,,$D51/$F51-1)</f>
        <v/>
      </c>
      <c r="H51" s="18">
        <f>IF(N($F51)-N($E51)&lt;=0,,($D51-$E51)/($F51-$E51))</f>
        <v/>
      </c>
      <c r="I51" s="47">
        <f>IFERROR(GOOGLEFINANCE($A51,"pe"),)</f>
        <v/>
      </c>
      <c r="J51" s="51">
        <f>IFERROR(GOOGLEFINANCE($A51,"marketcap")/1E9,)</f>
        <v/>
      </c>
      <c r="K51" s="48">
        <f>IF(N($D51)=0,,IF(AND($G51&lt;=-'Control Center'!$B$17,AND(N($I51)&gt;0,$I51&lt;='Control Center'!$B$18)),"VALUE ZONE",IF($G51&lt;=-'Control Center'!$B$19,"WATCH","—")))</f>
        <v/>
      </c>
      <c r="L51" s="20" t="n"/>
    </row>
    <row r="52">
      <c r="A52" s="15" t="inlineStr">
        <is>
          <t>ISRG</t>
        </is>
      </c>
      <c r="B52" s="20">
        <f>IFERROR(GOOGLEFINANCE($A52,"name"),)</f>
        <v/>
      </c>
      <c r="C52" s="24" t="inlineStr">
        <is>
          <t>Healthcare</t>
        </is>
      </c>
      <c r="D52" s="36">
        <f>IFERROR(GOOGLEFINANCE($A52,"price"),)</f>
        <v/>
      </c>
      <c r="E52" s="36">
        <f>IFERROR(GOOGLEFINANCE($A52,"low52"),)</f>
        <v/>
      </c>
      <c r="F52" s="36">
        <f>IFERROR(GOOGLEFINANCE($A52,"high52"),)</f>
        <v/>
      </c>
      <c r="G52" s="17">
        <f>IF(N($F52)=0,,$D52/$F52-1)</f>
        <v/>
      </c>
      <c r="H52" s="18">
        <f>IF(N($F52)-N($E52)&lt;=0,,($D52-$E52)/($F52-$E52))</f>
        <v/>
      </c>
      <c r="I52" s="47">
        <f>IFERROR(GOOGLEFINANCE($A52,"pe"),)</f>
        <v/>
      </c>
      <c r="J52" s="51">
        <f>IFERROR(GOOGLEFINANCE($A52,"marketcap")/1E9,)</f>
        <v/>
      </c>
      <c r="K52" s="48">
        <f>IF(N($D52)=0,,IF(AND($G52&lt;=-'Control Center'!$B$17,AND(N($I52)&gt;0,$I52&lt;='Control Center'!$B$18)),"VALUE ZONE",IF($G52&lt;=-'Control Center'!$B$19,"WATCH","—")))</f>
        <v/>
      </c>
      <c r="L52" s="20" t="n"/>
    </row>
    <row r="53">
      <c r="A53" s="15" t="inlineStr">
        <is>
          <t>TMO</t>
        </is>
      </c>
      <c r="B53" s="20">
        <f>IFERROR(GOOGLEFINANCE($A53,"name"),)</f>
        <v/>
      </c>
      <c r="C53" s="24" t="inlineStr">
        <is>
          <t>Healthcare</t>
        </is>
      </c>
      <c r="D53" s="36">
        <f>IFERROR(GOOGLEFINANCE($A53,"price"),)</f>
        <v/>
      </c>
      <c r="E53" s="36">
        <f>IFERROR(GOOGLEFINANCE($A53,"low52"),)</f>
        <v/>
      </c>
      <c r="F53" s="36">
        <f>IFERROR(GOOGLEFINANCE($A53,"high52"),)</f>
        <v/>
      </c>
      <c r="G53" s="17">
        <f>IF(N($F53)=0,,$D53/$F53-1)</f>
        <v/>
      </c>
      <c r="H53" s="18">
        <f>IF(N($F53)-N($E53)&lt;=0,,($D53-$E53)/($F53-$E53))</f>
        <v/>
      </c>
      <c r="I53" s="47">
        <f>IFERROR(GOOGLEFINANCE($A53,"pe"),)</f>
        <v/>
      </c>
      <c r="J53" s="51">
        <f>IFERROR(GOOGLEFINANCE($A53,"marketcap")/1E9,)</f>
        <v/>
      </c>
      <c r="K53" s="48">
        <f>IF(N($D53)=0,,IF(AND($G53&lt;=-'Control Center'!$B$17,AND(N($I53)&gt;0,$I53&lt;='Control Center'!$B$18)),"VALUE ZONE",IF($G53&lt;=-'Control Center'!$B$19,"WATCH","—")))</f>
        <v/>
      </c>
      <c r="L53" s="20" t="n"/>
    </row>
    <row r="54">
      <c r="A54" s="15" t="inlineStr">
        <is>
          <t>DHR</t>
        </is>
      </c>
      <c r="B54" s="20">
        <f>IFERROR(GOOGLEFINANCE($A54,"name"),)</f>
        <v/>
      </c>
      <c r="C54" s="24" t="inlineStr">
        <is>
          <t>Healthcare</t>
        </is>
      </c>
      <c r="D54" s="36">
        <f>IFERROR(GOOGLEFINANCE($A54,"price"),)</f>
        <v/>
      </c>
      <c r="E54" s="36">
        <f>IFERROR(GOOGLEFINANCE($A54,"low52"),)</f>
        <v/>
      </c>
      <c r="F54" s="36">
        <f>IFERROR(GOOGLEFINANCE($A54,"high52"),)</f>
        <v/>
      </c>
      <c r="G54" s="17">
        <f>IF(N($F54)=0,,$D54/$F54-1)</f>
        <v/>
      </c>
      <c r="H54" s="18">
        <f>IF(N($F54)-N($E54)&lt;=0,,($D54-$E54)/($F54-$E54))</f>
        <v/>
      </c>
      <c r="I54" s="47">
        <f>IFERROR(GOOGLEFINANCE($A54,"pe"),)</f>
        <v/>
      </c>
      <c r="J54" s="51">
        <f>IFERROR(GOOGLEFINANCE($A54,"marketcap")/1E9,)</f>
        <v/>
      </c>
      <c r="K54" s="48">
        <f>IF(N($D54)=0,,IF(AND($G54&lt;=-'Control Center'!$B$17,AND(N($I54)&gt;0,$I54&lt;='Control Center'!$B$18)),"VALUE ZONE",IF($G54&lt;=-'Control Center'!$B$19,"WATCH","—")))</f>
        <v/>
      </c>
      <c r="L54" s="20" t="n"/>
    </row>
    <row r="55">
      <c r="A55" s="15" t="inlineStr">
        <is>
          <t>JNJ</t>
        </is>
      </c>
      <c r="B55" s="20">
        <f>IFERROR(GOOGLEFINANCE($A55,"name"),)</f>
        <v/>
      </c>
      <c r="C55" s="24" t="inlineStr">
        <is>
          <t>Healthcare</t>
        </is>
      </c>
      <c r="D55" s="36">
        <f>IFERROR(GOOGLEFINANCE($A55,"price"),)</f>
        <v/>
      </c>
      <c r="E55" s="36">
        <f>IFERROR(GOOGLEFINANCE($A55,"low52"),)</f>
        <v/>
      </c>
      <c r="F55" s="36">
        <f>IFERROR(GOOGLEFINANCE($A55,"high52"),)</f>
        <v/>
      </c>
      <c r="G55" s="17">
        <f>IF(N($F55)=0,,$D55/$F55-1)</f>
        <v/>
      </c>
      <c r="H55" s="18">
        <f>IF(N($F55)-N($E55)&lt;=0,,($D55-$E55)/($F55-$E55))</f>
        <v/>
      </c>
      <c r="I55" s="47">
        <f>IFERROR(GOOGLEFINANCE($A55,"pe"),)</f>
        <v/>
      </c>
      <c r="J55" s="51">
        <f>IFERROR(GOOGLEFINANCE($A55,"marketcap")/1E9,)</f>
        <v/>
      </c>
      <c r="K55" s="48">
        <f>IF(N($D55)=0,,IF(AND($G55&lt;=-'Control Center'!$B$17,AND(N($I55)&gt;0,$I55&lt;='Control Center'!$B$18)),"VALUE ZONE",IF($G55&lt;=-'Control Center'!$B$19,"WATCH","—")))</f>
        <v/>
      </c>
      <c r="L55" s="20" t="n"/>
    </row>
    <row r="56">
      <c r="A56" s="15" t="inlineStr">
        <is>
          <t>PFE</t>
        </is>
      </c>
      <c r="B56" s="20">
        <f>IFERROR(GOOGLEFINANCE($A56,"name"),)</f>
        <v/>
      </c>
      <c r="C56" s="24" t="inlineStr">
        <is>
          <t>Healthcare</t>
        </is>
      </c>
      <c r="D56" s="36">
        <f>IFERROR(GOOGLEFINANCE($A56,"price"),)</f>
        <v/>
      </c>
      <c r="E56" s="36">
        <f>IFERROR(GOOGLEFINANCE($A56,"low52"),)</f>
        <v/>
      </c>
      <c r="F56" s="36">
        <f>IFERROR(GOOGLEFINANCE($A56,"high52"),)</f>
        <v/>
      </c>
      <c r="G56" s="17">
        <f>IF(N($F56)=0,,$D56/$F56-1)</f>
        <v/>
      </c>
      <c r="H56" s="18">
        <f>IF(N($F56)-N($E56)&lt;=0,,($D56-$E56)/($F56-$E56))</f>
        <v/>
      </c>
      <c r="I56" s="47">
        <f>IFERROR(GOOGLEFINANCE($A56,"pe"),)</f>
        <v/>
      </c>
      <c r="J56" s="51">
        <f>IFERROR(GOOGLEFINANCE($A56,"marketcap")/1E9,)</f>
        <v/>
      </c>
      <c r="K56" s="48">
        <f>IF(N($D56)=0,,IF(AND($G56&lt;=-'Control Center'!$B$17,AND(N($I56)&gt;0,$I56&lt;='Control Center'!$B$18)),"VALUE ZONE",IF($G56&lt;=-'Control Center'!$B$19,"WATCH","—")))</f>
        <v/>
      </c>
      <c r="L56" s="20" t="n"/>
    </row>
    <row r="57">
      <c r="A57" s="15" t="inlineStr">
        <is>
          <t>MRK</t>
        </is>
      </c>
      <c r="B57" s="20">
        <f>IFERROR(GOOGLEFINANCE($A57,"name"),)</f>
        <v/>
      </c>
      <c r="C57" s="24" t="inlineStr">
        <is>
          <t>Healthcare</t>
        </is>
      </c>
      <c r="D57" s="36">
        <f>IFERROR(GOOGLEFINANCE($A57,"price"),)</f>
        <v/>
      </c>
      <c r="E57" s="36">
        <f>IFERROR(GOOGLEFINANCE($A57,"low52"),)</f>
        <v/>
      </c>
      <c r="F57" s="36">
        <f>IFERROR(GOOGLEFINANCE($A57,"high52"),)</f>
        <v/>
      </c>
      <c r="G57" s="17">
        <f>IF(N($F57)=0,,$D57/$F57-1)</f>
        <v/>
      </c>
      <c r="H57" s="18">
        <f>IF(N($F57)-N($E57)&lt;=0,,($D57-$E57)/($F57-$E57))</f>
        <v/>
      </c>
      <c r="I57" s="47">
        <f>IFERROR(GOOGLEFINANCE($A57,"pe"),)</f>
        <v/>
      </c>
      <c r="J57" s="51">
        <f>IFERROR(GOOGLEFINANCE($A57,"marketcap")/1E9,)</f>
        <v/>
      </c>
      <c r="K57" s="48">
        <f>IF(N($D57)=0,,IF(AND($G57&lt;=-'Control Center'!$B$17,AND(N($I57)&gt;0,$I57&lt;='Control Center'!$B$18)),"VALUE ZONE",IF($G57&lt;=-'Control Center'!$B$19,"WATCH","—")))</f>
        <v/>
      </c>
      <c r="L57" s="20" t="n"/>
    </row>
    <row r="58">
      <c r="A58" s="15" t="inlineStr">
        <is>
          <t>BMY</t>
        </is>
      </c>
      <c r="B58" s="20">
        <f>IFERROR(GOOGLEFINANCE($A58,"name"),)</f>
        <v/>
      </c>
      <c r="C58" s="24" t="inlineStr">
        <is>
          <t>Healthcare</t>
        </is>
      </c>
      <c r="D58" s="36">
        <f>IFERROR(GOOGLEFINANCE($A58,"price"),)</f>
        <v/>
      </c>
      <c r="E58" s="36">
        <f>IFERROR(GOOGLEFINANCE($A58,"low52"),)</f>
        <v/>
      </c>
      <c r="F58" s="36">
        <f>IFERROR(GOOGLEFINANCE($A58,"high52"),)</f>
        <v/>
      </c>
      <c r="G58" s="17">
        <f>IF(N($F58)=0,,$D58/$F58-1)</f>
        <v/>
      </c>
      <c r="H58" s="18">
        <f>IF(N($F58)-N($E58)&lt;=0,,($D58-$E58)/($F58-$E58))</f>
        <v/>
      </c>
      <c r="I58" s="47">
        <f>IFERROR(GOOGLEFINANCE($A58,"pe"),)</f>
        <v/>
      </c>
      <c r="J58" s="51">
        <f>IFERROR(GOOGLEFINANCE($A58,"marketcap")/1E9,)</f>
        <v/>
      </c>
      <c r="K58" s="48">
        <f>IF(N($D58)=0,,IF(AND($G58&lt;=-'Control Center'!$B$17,AND(N($I58)&gt;0,$I58&lt;='Control Center'!$B$18)),"VALUE ZONE",IF($G58&lt;=-'Control Center'!$B$19,"WATCH","—")))</f>
        <v/>
      </c>
      <c r="L58" s="20" t="n"/>
    </row>
    <row r="59">
      <c r="A59" s="15" t="inlineStr">
        <is>
          <t>ABBV</t>
        </is>
      </c>
      <c r="B59" s="20">
        <f>IFERROR(GOOGLEFINANCE($A59,"name"),)</f>
        <v/>
      </c>
      <c r="C59" s="24" t="inlineStr">
        <is>
          <t>Healthcare</t>
        </is>
      </c>
      <c r="D59" s="36">
        <f>IFERROR(GOOGLEFINANCE($A59,"price"),)</f>
        <v/>
      </c>
      <c r="E59" s="36">
        <f>IFERROR(GOOGLEFINANCE($A59,"low52"),)</f>
        <v/>
      </c>
      <c r="F59" s="36">
        <f>IFERROR(GOOGLEFINANCE($A59,"high52"),)</f>
        <v/>
      </c>
      <c r="G59" s="17">
        <f>IF(N($F59)=0,,$D59/$F59-1)</f>
        <v/>
      </c>
      <c r="H59" s="18">
        <f>IF(N($F59)-N($E59)&lt;=0,,($D59-$E59)/($F59-$E59))</f>
        <v/>
      </c>
      <c r="I59" s="47">
        <f>IFERROR(GOOGLEFINANCE($A59,"pe"),)</f>
        <v/>
      </c>
      <c r="J59" s="51">
        <f>IFERROR(GOOGLEFINANCE($A59,"marketcap")/1E9,)</f>
        <v/>
      </c>
      <c r="K59" s="48">
        <f>IF(N($D59)=0,,IF(AND($G59&lt;=-'Control Center'!$B$17,AND(N($I59)&gt;0,$I59&lt;='Control Center'!$B$18)),"VALUE ZONE",IF($G59&lt;=-'Control Center'!$B$19,"WATCH","—")))</f>
        <v/>
      </c>
      <c r="L59" s="20" t="n"/>
    </row>
    <row r="60">
      <c r="A60" s="15" t="inlineStr">
        <is>
          <t>AMGN</t>
        </is>
      </c>
      <c r="B60" s="20">
        <f>IFERROR(GOOGLEFINANCE($A60,"name"),)</f>
        <v/>
      </c>
      <c r="C60" s="24" t="inlineStr">
        <is>
          <t>Healthcare</t>
        </is>
      </c>
      <c r="D60" s="36">
        <f>IFERROR(GOOGLEFINANCE($A60,"price"),)</f>
        <v/>
      </c>
      <c r="E60" s="36">
        <f>IFERROR(GOOGLEFINANCE($A60,"low52"),)</f>
        <v/>
      </c>
      <c r="F60" s="36">
        <f>IFERROR(GOOGLEFINANCE($A60,"high52"),)</f>
        <v/>
      </c>
      <c r="G60" s="17">
        <f>IF(N($F60)=0,,$D60/$F60-1)</f>
        <v/>
      </c>
      <c r="H60" s="18">
        <f>IF(N($F60)-N($E60)&lt;=0,,($D60-$E60)/($F60-$E60))</f>
        <v/>
      </c>
      <c r="I60" s="47">
        <f>IFERROR(GOOGLEFINANCE($A60,"pe"),)</f>
        <v/>
      </c>
      <c r="J60" s="51">
        <f>IFERROR(GOOGLEFINANCE($A60,"marketcap")/1E9,)</f>
        <v/>
      </c>
      <c r="K60" s="48">
        <f>IF(N($D60)=0,,IF(AND($G60&lt;=-'Control Center'!$B$17,AND(N($I60)&gt;0,$I60&lt;='Control Center'!$B$18)),"VALUE ZONE",IF($G60&lt;=-'Control Center'!$B$19,"WATCH","—")))</f>
        <v/>
      </c>
      <c r="L60" s="20" t="n"/>
    </row>
    <row r="61">
      <c r="A61" s="15" t="inlineStr">
        <is>
          <t>GILD</t>
        </is>
      </c>
      <c r="B61" s="20">
        <f>IFERROR(GOOGLEFINANCE($A61,"name"),)</f>
        <v/>
      </c>
      <c r="C61" s="24" t="inlineStr">
        <is>
          <t>Healthcare</t>
        </is>
      </c>
      <c r="D61" s="36">
        <f>IFERROR(GOOGLEFINANCE($A61,"price"),)</f>
        <v/>
      </c>
      <c r="E61" s="36">
        <f>IFERROR(GOOGLEFINANCE($A61,"low52"),)</f>
        <v/>
      </c>
      <c r="F61" s="36">
        <f>IFERROR(GOOGLEFINANCE($A61,"high52"),)</f>
        <v/>
      </c>
      <c r="G61" s="17">
        <f>IF(N($F61)=0,,$D61/$F61-1)</f>
        <v/>
      </c>
      <c r="H61" s="18">
        <f>IF(N($F61)-N($E61)&lt;=0,,($D61-$E61)/($F61-$E61))</f>
        <v/>
      </c>
      <c r="I61" s="47">
        <f>IFERROR(GOOGLEFINANCE($A61,"pe"),)</f>
        <v/>
      </c>
      <c r="J61" s="51">
        <f>IFERROR(GOOGLEFINANCE($A61,"marketcap")/1E9,)</f>
        <v/>
      </c>
      <c r="K61" s="48">
        <f>IF(N($D61)=0,,IF(AND($G61&lt;=-'Control Center'!$B$17,AND(N($I61)&gt;0,$I61&lt;='Control Center'!$B$18)),"VALUE ZONE",IF($G61&lt;=-'Control Center'!$B$19,"WATCH","—")))</f>
        <v/>
      </c>
      <c r="L61" s="20" t="n"/>
    </row>
    <row r="62">
      <c r="A62" s="15" t="inlineStr">
        <is>
          <t>REGN</t>
        </is>
      </c>
      <c r="B62" s="20">
        <f>IFERROR(GOOGLEFINANCE($A62,"name"),)</f>
        <v/>
      </c>
      <c r="C62" s="24" t="inlineStr">
        <is>
          <t>Healthcare</t>
        </is>
      </c>
      <c r="D62" s="36">
        <f>IFERROR(GOOGLEFINANCE($A62,"price"),)</f>
        <v/>
      </c>
      <c r="E62" s="36">
        <f>IFERROR(GOOGLEFINANCE($A62,"low52"),)</f>
        <v/>
      </c>
      <c r="F62" s="36">
        <f>IFERROR(GOOGLEFINANCE($A62,"high52"),)</f>
        <v/>
      </c>
      <c r="G62" s="17">
        <f>IF(N($F62)=0,,$D62/$F62-1)</f>
        <v/>
      </c>
      <c r="H62" s="18">
        <f>IF(N($F62)-N($E62)&lt;=0,,($D62-$E62)/($F62-$E62))</f>
        <v/>
      </c>
      <c r="I62" s="47">
        <f>IFERROR(GOOGLEFINANCE($A62,"pe"),)</f>
        <v/>
      </c>
      <c r="J62" s="51">
        <f>IFERROR(GOOGLEFINANCE($A62,"marketcap")/1E9,)</f>
        <v/>
      </c>
      <c r="K62" s="48">
        <f>IF(N($D62)=0,,IF(AND($G62&lt;=-'Control Center'!$B$17,AND(N($I62)&gt;0,$I62&lt;='Control Center'!$B$18)),"VALUE ZONE",IF($G62&lt;=-'Control Center'!$B$19,"WATCH","—")))</f>
        <v/>
      </c>
      <c r="L62" s="20" t="n"/>
    </row>
    <row r="63">
      <c r="A63" s="15" t="inlineStr">
        <is>
          <t>VRTX</t>
        </is>
      </c>
      <c r="B63" s="20">
        <f>IFERROR(GOOGLEFINANCE($A63,"name"),)</f>
        <v/>
      </c>
      <c r="C63" s="24" t="inlineStr">
        <is>
          <t>Healthcare</t>
        </is>
      </c>
      <c r="D63" s="36">
        <f>IFERROR(GOOGLEFINANCE($A63,"price"),)</f>
        <v/>
      </c>
      <c r="E63" s="36">
        <f>IFERROR(GOOGLEFINANCE($A63,"low52"),)</f>
        <v/>
      </c>
      <c r="F63" s="36">
        <f>IFERROR(GOOGLEFINANCE($A63,"high52"),)</f>
        <v/>
      </c>
      <c r="G63" s="17">
        <f>IF(N($F63)=0,,$D63/$F63-1)</f>
        <v/>
      </c>
      <c r="H63" s="18">
        <f>IF(N($F63)-N($E63)&lt;=0,,($D63-$E63)/($F63-$E63))</f>
        <v/>
      </c>
      <c r="I63" s="47">
        <f>IFERROR(GOOGLEFINANCE($A63,"pe"),)</f>
        <v/>
      </c>
      <c r="J63" s="51">
        <f>IFERROR(GOOGLEFINANCE($A63,"marketcap")/1E9,)</f>
        <v/>
      </c>
      <c r="K63" s="48">
        <f>IF(N($D63)=0,,IF(AND($G63&lt;=-'Control Center'!$B$17,AND(N($I63)&gt;0,$I63&lt;='Control Center'!$B$18)),"VALUE ZONE",IF($G63&lt;=-'Control Center'!$B$19,"WATCH","—")))</f>
        <v/>
      </c>
      <c r="L63" s="20" t="n"/>
    </row>
    <row r="64">
      <c r="A64" s="15" t="inlineStr">
        <is>
          <t>PEP</t>
        </is>
      </c>
      <c r="B64" s="20">
        <f>IFERROR(GOOGLEFINANCE($A64,"name"),)</f>
        <v/>
      </c>
      <c r="C64" s="24" t="inlineStr">
        <is>
          <t>Staples</t>
        </is>
      </c>
      <c r="D64" s="36">
        <f>IFERROR(GOOGLEFINANCE($A64,"price"),)</f>
        <v/>
      </c>
      <c r="E64" s="36">
        <f>IFERROR(GOOGLEFINANCE($A64,"low52"),)</f>
        <v/>
      </c>
      <c r="F64" s="36">
        <f>IFERROR(GOOGLEFINANCE($A64,"high52"),)</f>
        <v/>
      </c>
      <c r="G64" s="17">
        <f>IF(N($F64)=0,,$D64/$F64-1)</f>
        <v/>
      </c>
      <c r="H64" s="18">
        <f>IF(N($F64)-N($E64)&lt;=0,,($D64-$E64)/($F64-$E64))</f>
        <v/>
      </c>
      <c r="I64" s="47">
        <f>IFERROR(GOOGLEFINANCE($A64,"pe"),)</f>
        <v/>
      </c>
      <c r="J64" s="51">
        <f>IFERROR(GOOGLEFINANCE($A64,"marketcap")/1E9,)</f>
        <v/>
      </c>
      <c r="K64" s="48">
        <f>IF(N($D64)=0,,IF(AND($G64&lt;=-'Control Center'!$B$17,AND(N($I64)&gt;0,$I64&lt;='Control Center'!$B$18)),"VALUE ZONE",IF($G64&lt;=-'Control Center'!$B$19,"WATCH","—")))</f>
        <v/>
      </c>
      <c r="L64" s="20" t="n"/>
    </row>
    <row r="65">
      <c r="A65" s="15" t="inlineStr">
        <is>
          <t>KO</t>
        </is>
      </c>
      <c r="B65" s="20">
        <f>IFERROR(GOOGLEFINANCE($A65,"name"),)</f>
        <v/>
      </c>
      <c r="C65" s="24" t="inlineStr">
        <is>
          <t>Staples</t>
        </is>
      </c>
      <c r="D65" s="36">
        <f>IFERROR(GOOGLEFINANCE($A65,"price"),)</f>
        <v/>
      </c>
      <c r="E65" s="36">
        <f>IFERROR(GOOGLEFINANCE($A65,"low52"),)</f>
        <v/>
      </c>
      <c r="F65" s="36">
        <f>IFERROR(GOOGLEFINANCE($A65,"high52"),)</f>
        <v/>
      </c>
      <c r="G65" s="17">
        <f>IF(N($F65)=0,,$D65/$F65-1)</f>
        <v/>
      </c>
      <c r="H65" s="18">
        <f>IF(N($F65)-N($E65)&lt;=0,,($D65-$E65)/($F65-$E65))</f>
        <v/>
      </c>
      <c r="I65" s="47">
        <f>IFERROR(GOOGLEFINANCE($A65,"pe"),)</f>
        <v/>
      </c>
      <c r="J65" s="51">
        <f>IFERROR(GOOGLEFINANCE($A65,"marketcap")/1E9,)</f>
        <v/>
      </c>
      <c r="K65" s="48">
        <f>IF(N($D65)=0,,IF(AND($G65&lt;=-'Control Center'!$B$17,AND(N($I65)&gt;0,$I65&lt;='Control Center'!$B$18)),"VALUE ZONE",IF($G65&lt;=-'Control Center'!$B$19,"WATCH","—")))</f>
        <v/>
      </c>
      <c r="L65" s="20" t="n"/>
    </row>
    <row r="66">
      <c r="A66" s="15" t="inlineStr">
        <is>
          <t>PG</t>
        </is>
      </c>
      <c r="B66" s="20">
        <f>IFERROR(GOOGLEFINANCE($A66,"name"),)</f>
        <v/>
      </c>
      <c r="C66" s="24" t="inlineStr">
        <is>
          <t>Staples</t>
        </is>
      </c>
      <c r="D66" s="36">
        <f>IFERROR(GOOGLEFINANCE($A66,"price"),)</f>
        <v/>
      </c>
      <c r="E66" s="36">
        <f>IFERROR(GOOGLEFINANCE($A66,"low52"),)</f>
        <v/>
      </c>
      <c r="F66" s="36">
        <f>IFERROR(GOOGLEFINANCE($A66,"high52"),)</f>
        <v/>
      </c>
      <c r="G66" s="17">
        <f>IF(N($F66)=0,,$D66/$F66-1)</f>
        <v/>
      </c>
      <c r="H66" s="18">
        <f>IF(N($F66)-N($E66)&lt;=0,,($D66-$E66)/($F66-$E66))</f>
        <v/>
      </c>
      <c r="I66" s="47">
        <f>IFERROR(GOOGLEFINANCE($A66,"pe"),)</f>
        <v/>
      </c>
      <c r="J66" s="51">
        <f>IFERROR(GOOGLEFINANCE($A66,"marketcap")/1E9,)</f>
        <v/>
      </c>
      <c r="K66" s="48">
        <f>IF(N($D66)=0,,IF(AND($G66&lt;=-'Control Center'!$B$17,AND(N($I66)&gt;0,$I66&lt;='Control Center'!$B$18)),"VALUE ZONE",IF($G66&lt;=-'Control Center'!$B$19,"WATCH","—")))</f>
        <v/>
      </c>
      <c r="L66" s="20" t="n"/>
    </row>
    <row r="67">
      <c r="A67" s="15" t="inlineStr">
        <is>
          <t>CL</t>
        </is>
      </c>
      <c r="B67" s="20">
        <f>IFERROR(GOOGLEFINANCE($A67,"name"),)</f>
        <v/>
      </c>
      <c r="C67" s="24" t="inlineStr">
        <is>
          <t>Staples</t>
        </is>
      </c>
      <c r="D67" s="36">
        <f>IFERROR(GOOGLEFINANCE($A67,"price"),)</f>
        <v/>
      </c>
      <c r="E67" s="36">
        <f>IFERROR(GOOGLEFINANCE($A67,"low52"),)</f>
        <v/>
      </c>
      <c r="F67" s="36">
        <f>IFERROR(GOOGLEFINANCE($A67,"high52"),)</f>
        <v/>
      </c>
      <c r="G67" s="17">
        <f>IF(N($F67)=0,,$D67/$F67-1)</f>
        <v/>
      </c>
      <c r="H67" s="18">
        <f>IF(N($F67)-N($E67)&lt;=0,,($D67-$E67)/($F67-$E67))</f>
        <v/>
      </c>
      <c r="I67" s="47">
        <f>IFERROR(GOOGLEFINANCE($A67,"pe"),)</f>
        <v/>
      </c>
      <c r="J67" s="51">
        <f>IFERROR(GOOGLEFINANCE($A67,"marketcap")/1E9,)</f>
        <v/>
      </c>
      <c r="K67" s="48">
        <f>IF(N($D67)=0,,IF(AND($G67&lt;=-'Control Center'!$B$17,AND(N($I67)&gt;0,$I67&lt;='Control Center'!$B$18)),"VALUE ZONE",IF($G67&lt;=-'Control Center'!$B$19,"WATCH","—")))</f>
        <v/>
      </c>
      <c r="L67" s="20" t="n"/>
    </row>
    <row r="68">
      <c r="A68" s="15" t="inlineStr">
        <is>
          <t>KMB</t>
        </is>
      </c>
      <c r="B68" s="20">
        <f>IFERROR(GOOGLEFINANCE($A68,"name"),)</f>
        <v/>
      </c>
      <c r="C68" s="24" t="inlineStr">
        <is>
          <t>Staples</t>
        </is>
      </c>
      <c r="D68" s="36">
        <f>IFERROR(GOOGLEFINANCE($A68,"price"),)</f>
        <v/>
      </c>
      <c r="E68" s="36">
        <f>IFERROR(GOOGLEFINANCE($A68,"low52"),)</f>
        <v/>
      </c>
      <c r="F68" s="36">
        <f>IFERROR(GOOGLEFINANCE($A68,"high52"),)</f>
        <v/>
      </c>
      <c r="G68" s="17">
        <f>IF(N($F68)=0,,$D68/$F68-1)</f>
        <v/>
      </c>
      <c r="H68" s="18">
        <f>IF(N($F68)-N($E68)&lt;=0,,($D68-$E68)/($F68-$E68))</f>
        <v/>
      </c>
      <c r="I68" s="47">
        <f>IFERROR(GOOGLEFINANCE($A68,"pe"),)</f>
        <v/>
      </c>
      <c r="J68" s="51">
        <f>IFERROR(GOOGLEFINANCE($A68,"marketcap")/1E9,)</f>
        <v/>
      </c>
      <c r="K68" s="48">
        <f>IF(N($D68)=0,,IF(AND($G68&lt;=-'Control Center'!$B$17,AND(N($I68)&gt;0,$I68&lt;='Control Center'!$B$18)),"VALUE ZONE",IF($G68&lt;=-'Control Center'!$B$19,"WATCH","—")))</f>
        <v/>
      </c>
      <c r="L68" s="20" t="n"/>
    </row>
    <row r="69">
      <c r="A69" s="15" t="inlineStr">
        <is>
          <t>HSY</t>
        </is>
      </c>
      <c r="B69" s="20">
        <f>IFERROR(GOOGLEFINANCE($A69,"name"),)</f>
        <v/>
      </c>
      <c r="C69" s="24" t="inlineStr">
        <is>
          <t>Staples</t>
        </is>
      </c>
      <c r="D69" s="36">
        <f>IFERROR(GOOGLEFINANCE($A69,"price"),)</f>
        <v/>
      </c>
      <c r="E69" s="36">
        <f>IFERROR(GOOGLEFINANCE($A69,"low52"),)</f>
        <v/>
      </c>
      <c r="F69" s="36">
        <f>IFERROR(GOOGLEFINANCE($A69,"high52"),)</f>
        <v/>
      </c>
      <c r="G69" s="17">
        <f>IF(N($F69)=0,,$D69/$F69-1)</f>
        <v/>
      </c>
      <c r="H69" s="18">
        <f>IF(N($F69)-N($E69)&lt;=0,,($D69-$E69)/($F69-$E69))</f>
        <v/>
      </c>
      <c r="I69" s="47">
        <f>IFERROR(GOOGLEFINANCE($A69,"pe"),)</f>
        <v/>
      </c>
      <c r="J69" s="51">
        <f>IFERROR(GOOGLEFINANCE($A69,"marketcap")/1E9,)</f>
        <v/>
      </c>
      <c r="K69" s="48">
        <f>IF(N($D69)=0,,IF(AND($G69&lt;=-'Control Center'!$B$17,AND(N($I69)&gt;0,$I69&lt;='Control Center'!$B$18)),"VALUE ZONE",IF($G69&lt;=-'Control Center'!$B$19,"WATCH","—")))</f>
        <v/>
      </c>
      <c r="L69" s="20" t="n"/>
    </row>
    <row r="70">
      <c r="A70" s="15" t="inlineStr">
        <is>
          <t>MDLZ</t>
        </is>
      </c>
      <c r="B70" s="20">
        <f>IFERROR(GOOGLEFINANCE($A70,"name"),)</f>
        <v/>
      </c>
      <c r="C70" s="24" t="inlineStr">
        <is>
          <t>Staples</t>
        </is>
      </c>
      <c r="D70" s="36">
        <f>IFERROR(GOOGLEFINANCE($A70,"price"),)</f>
        <v/>
      </c>
      <c r="E70" s="36">
        <f>IFERROR(GOOGLEFINANCE($A70,"low52"),)</f>
        <v/>
      </c>
      <c r="F70" s="36">
        <f>IFERROR(GOOGLEFINANCE($A70,"high52"),)</f>
        <v/>
      </c>
      <c r="G70" s="17">
        <f>IF(N($F70)=0,,$D70/$F70-1)</f>
        <v/>
      </c>
      <c r="H70" s="18">
        <f>IF(N($F70)-N($E70)&lt;=0,,($D70-$E70)/($F70-$E70))</f>
        <v/>
      </c>
      <c r="I70" s="47">
        <f>IFERROR(GOOGLEFINANCE($A70,"pe"),)</f>
        <v/>
      </c>
      <c r="J70" s="51">
        <f>IFERROR(GOOGLEFINANCE($A70,"marketcap")/1E9,)</f>
        <v/>
      </c>
      <c r="K70" s="48">
        <f>IF(N($D70)=0,,IF(AND($G70&lt;=-'Control Center'!$B$17,AND(N($I70)&gt;0,$I70&lt;='Control Center'!$B$18)),"VALUE ZONE",IF($G70&lt;=-'Control Center'!$B$19,"WATCH","—")))</f>
        <v/>
      </c>
      <c r="L70" s="20" t="n"/>
    </row>
    <row r="71">
      <c r="A71" s="15" t="inlineStr">
        <is>
          <t>GIS</t>
        </is>
      </c>
      <c r="B71" s="20">
        <f>IFERROR(GOOGLEFINANCE($A71,"name"),)</f>
        <v/>
      </c>
      <c r="C71" s="24" t="inlineStr">
        <is>
          <t>Staples</t>
        </is>
      </c>
      <c r="D71" s="36">
        <f>IFERROR(GOOGLEFINANCE($A71,"price"),)</f>
        <v/>
      </c>
      <c r="E71" s="36">
        <f>IFERROR(GOOGLEFINANCE($A71,"low52"),)</f>
        <v/>
      </c>
      <c r="F71" s="36">
        <f>IFERROR(GOOGLEFINANCE($A71,"high52"),)</f>
        <v/>
      </c>
      <c r="G71" s="17">
        <f>IF(N($F71)=0,,$D71/$F71-1)</f>
        <v/>
      </c>
      <c r="H71" s="18">
        <f>IF(N($F71)-N($E71)&lt;=0,,($D71-$E71)/($F71-$E71))</f>
        <v/>
      </c>
      <c r="I71" s="47">
        <f>IFERROR(GOOGLEFINANCE($A71,"pe"),)</f>
        <v/>
      </c>
      <c r="J71" s="51">
        <f>IFERROR(GOOGLEFINANCE($A71,"marketcap")/1E9,)</f>
        <v/>
      </c>
      <c r="K71" s="48">
        <f>IF(N($D71)=0,,IF(AND($G71&lt;=-'Control Center'!$B$17,AND(N($I71)&gt;0,$I71&lt;='Control Center'!$B$18)),"VALUE ZONE",IF($G71&lt;=-'Control Center'!$B$19,"WATCH","—")))</f>
        <v/>
      </c>
      <c r="L71" s="20" t="n"/>
    </row>
    <row r="72">
      <c r="A72" s="15" t="inlineStr">
        <is>
          <t>STZ</t>
        </is>
      </c>
      <c r="B72" s="20">
        <f>IFERROR(GOOGLEFINANCE($A72,"name"),)</f>
        <v/>
      </c>
      <c r="C72" s="24" t="inlineStr">
        <is>
          <t>Staples</t>
        </is>
      </c>
      <c r="D72" s="36">
        <f>IFERROR(GOOGLEFINANCE($A72,"price"),)</f>
        <v/>
      </c>
      <c r="E72" s="36">
        <f>IFERROR(GOOGLEFINANCE($A72,"low52"),)</f>
        <v/>
      </c>
      <c r="F72" s="36">
        <f>IFERROR(GOOGLEFINANCE($A72,"high52"),)</f>
        <v/>
      </c>
      <c r="G72" s="17">
        <f>IF(N($F72)=0,,$D72/$F72-1)</f>
        <v/>
      </c>
      <c r="H72" s="18">
        <f>IF(N($F72)-N($E72)&lt;=0,,($D72-$E72)/($F72-$E72))</f>
        <v/>
      </c>
      <c r="I72" s="47">
        <f>IFERROR(GOOGLEFINANCE($A72,"pe"),)</f>
        <v/>
      </c>
      <c r="J72" s="51">
        <f>IFERROR(GOOGLEFINANCE($A72,"marketcap")/1E9,)</f>
        <v/>
      </c>
      <c r="K72" s="48">
        <f>IF(N($D72)=0,,IF(AND($G72&lt;=-'Control Center'!$B$17,AND(N($I72)&gt;0,$I72&lt;='Control Center'!$B$18)),"VALUE ZONE",IF($G72&lt;=-'Control Center'!$B$19,"WATCH","—")))</f>
        <v/>
      </c>
      <c r="L72" s="20" t="n"/>
    </row>
    <row r="73">
      <c r="A73" s="15" t="inlineStr">
        <is>
          <t>KR</t>
        </is>
      </c>
      <c r="B73" s="20">
        <f>IFERROR(GOOGLEFINANCE($A73,"name"),)</f>
        <v/>
      </c>
      <c r="C73" s="24" t="inlineStr">
        <is>
          <t>Staples</t>
        </is>
      </c>
      <c r="D73" s="36">
        <f>IFERROR(GOOGLEFINANCE($A73,"price"),)</f>
        <v/>
      </c>
      <c r="E73" s="36">
        <f>IFERROR(GOOGLEFINANCE($A73,"low52"),)</f>
        <v/>
      </c>
      <c r="F73" s="36">
        <f>IFERROR(GOOGLEFINANCE($A73,"high52"),)</f>
        <v/>
      </c>
      <c r="G73" s="17">
        <f>IF(N($F73)=0,,$D73/$F73-1)</f>
        <v/>
      </c>
      <c r="H73" s="18">
        <f>IF(N($F73)-N($E73)&lt;=0,,($D73-$E73)/($F73-$E73))</f>
        <v/>
      </c>
      <c r="I73" s="47">
        <f>IFERROR(GOOGLEFINANCE($A73,"pe"),)</f>
        <v/>
      </c>
      <c r="J73" s="51">
        <f>IFERROR(GOOGLEFINANCE($A73,"marketcap")/1E9,)</f>
        <v/>
      </c>
      <c r="K73" s="48">
        <f>IF(N($D73)=0,,IF(AND($G73&lt;=-'Control Center'!$B$17,AND(N($I73)&gt;0,$I73&lt;='Control Center'!$B$18)),"VALUE ZONE",IF($G73&lt;=-'Control Center'!$B$19,"WATCH","—")))</f>
        <v/>
      </c>
      <c r="L73" s="20" t="n"/>
    </row>
    <row r="74">
      <c r="A74" s="15" t="inlineStr">
        <is>
          <t>COST</t>
        </is>
      </c>
      <c r="B74" s="20">
        <f>IFERROR(GOOGLEFINANCE($A74,"name"),)</f>
        <v/>
      </c>
      <c r="C74" s="24" t="inlineStr">
        <is>
          <t>Staples</t>
        </is>
      </c>
      <c r="D74" s="36">
        <f>IFERROR(GOOGLEFINANCE($A74,"price"),)</f>
        <v/>
      </c>
      <c r="E74" s="36">
        <f>IFERROR(GOOGLEFINANCE($A74,"low52"),)</f>
        <v/>
      </c>
      <c r="F74" s="36">
        <f>IFERROR(GOOGLEFINANCE($A74,"high52"),)</f>
        <v/>
      </c>
      <c r="G74" s="17">
        <f>IF(N($F74)=0,,$D74/$F74-1)</f>
        <v/>
      </c>
      <c r="H74" s="18">
        <f>IF(N($F74)-N($E74)&lt;=0,,($D74-$E74)/($F74-$E74))</f>
        <v/>
      </c>
      <c r="I74" s="47">
        <f>IFERROR(GOOGLEFINANCE($A74,"pe"),)</f>
        <v/>
      </c>
      <c r="J74" s="51">
        <f>IFERROR(GOOGLEFINANCE($A74,"marketcap")/1E9,)</f>
        <v/>
      </c>
      <c r="K74" s="48">
        <f>IF(N($D74)=0,,IF(AND($G74&lt;=-'Control Center'!$B$17,AND(N($I74)&gt;0,$I74&lt;='Control Center'!$B$18)),"VALUE ZONE",IF($G74&lt;=-'Control Center'!$B$19,"WATCH","—")))</f>
        <v/>
      </c>
      <c r="L74" s="20" t="n"/>
    </row>
    <row r="75">
      <c r="A75" s="15" t="inlineStr">
        <is>
          <t>WMT</t>
        </is>
      </c>
      <c r="B75" s="20">
        <f>IFERROR(GOOGLEFINANCE($A75,"name"),)</f>
        <v/>
      </c>
      <c r="C75" s="24" t="inlineStr">
        <is>
          <t>Staples</t>
        </is>
      </c>
      <c r="D75" s="36">
        <f>IFERROR(GOOGLEFINANCE($A75,"price"),)</f>
        <v/>
      </c>
      <c r="E75" s="36">
        <f>IFERROR(GOOGLEFINANCE($A75,"low52"),)</f>
        <v/>
      </c>
      <c r="F75" s="36">
        <f>IFERROR(GOOGLEFINANCE($A75,"high52"),)</f>
        <v/>
      </c>
      <c r="G75" s="17">
        <f>IF(N($F75)=0,,$D75/$F75-1)</f>
        <v/>
      </c>
      <c r="H75" s="18">
        <f>IF(N($F75)-N($E75)&lt;=0,,($D75-$E75)/($F75-$E75))</f>
        <v/>
      </c>
      <c r="I75" s="47">
        <f>IFERROR(GOOGLEFINANCE($A75,"pe"),)</f>
        <v/>
      </c>
      <c r="J75" s="51">
        <f>IFERROR(GOOGLEFINANCE($A75,"marketcap")/1E9,)</f>
        <v/>
      </c>
      <c r="K75" s="48">
        <f>IF(N($D75)=0,,IF(AND($G75&lt;=-'Control Center'!$B$17,AND(N($I75)&gt;0,$I75&lt;='Control Center'!$B$18)),"VALUE ZONE",IF($G75&lt;=-'Control Center'!$B$19,"WATCH","—")))</f>
        <v/>
      </c>
      <c r="L75" s="20" t="n"/>
    </row>
    <row r="76">
      <c r="A76" s="15" t="inlineStr">
        <is>
          <t>TGT</t>
        </is>
      </c>
      <c r="B76" s="20">
        <f>IFERROR(GOOGLEFINANCE($A76,"name"),)</f>
        <v/>
      </c>
      <c r="C76" s="24" t="inlineStr">
        <is>
          <t>Staples</t>
        </is>
      </c>
      <c r="D76" s="36">
        <f>IFERROR(GOOGLEFINANCE($A76,"price"),)</f>
        <v/>
      </c>
      <c r="E76" s="36">
        <f>IFERROR(GOOGLEFINANCE($A76,"low52"),)</f>
        <v/>
      </c>
      <c r="F76" s="36">
        <f>IFERROR(GOOGLEFINANCE($A76,"high52"),)</f>
        <v/>
      </c>
      <c r="G76" s="17">
        <f>IF(N($F76)=0,,$D76/$F76-1)</f>
        <v/>
      </c>
      <c r="H76" s="18">
        <f>IF(N($F76)-N($E76)&lt;=0,,($D76-$E76)/($F76-$E76))</f>
        <v/>
      </c>
      <c r="I76" s="47">
        <f>IFERROR(GOOGLEFINANCE($A76,"pe"),)</f>
        <v/>
      </c>
      <c r="J76" s="51">
        <f>IFERROR(GOOGLEFINANCE($A76,"marketcap")/1E9,)</f>
        <v/>
      </c>
      <c r="K76" s="48">
        <f>IF(N($D76)=0,,IF(AND($G76&lt;=-'Control Center'!$B$17,AND(N($I76)&gt;0,$I76&lt;='Control Center'!$B$18)),"VALUE ZONE",IF($G76&lt;=-'Control Center'!$B$19,"WATCH","—")))</f>
        <v/>
      </c>
      <c r="L76" s="20" t="n"/>
    </row>
    <row r="77">
      <c r="A77" s="15" t="inlineStr">
        <is>
          <t>NKE</t>
        </is>
      </c>
      <c r="B77" s="20">
        <f>IFERROR(GOOGLEFINANCE($A77,"name"),)</f>
        <v/>
      </c>
      <c r="C77" s="24" t="inlineStr">
        <is>
          <t>Discretionary</t>
        </is>
      </c>
      <c r="D77" s="36">
        <f>IFERROR(GOOGLEFINANCE($A77,"price"),)</f>
        <v/>
      </c>
      <c r="E77" s="36">
        <f>IFERROR(GOOGLEFINANCE($A77,"low52"),)</f>
        <v/>
      </c>
      <c r="F77" s="36">
        <f>IFERROR(GOOGLEFINANCE($A77,"high52"),)</f>
        <v/>
      </c>
      <c r="G77" s="17">
        <f>IF(N($F77)=0,,$D77/$F77-1)</f>
        <v/>
      </c>
      <c r="H77" s="18">
        <f>IF(N($F77)-N($E77)&lt;=0,,($D77-$E77)/($F77-$E77))</f>
        <v/>
      </c>
      <c r="I77" s="47">
        <f>IFERROR(GOOGLEFINANCE($A77,"pe"),)</f>
        <v/>
      </c>
      <c r="J77" s="51">
        <f>IFERROR(GOOGLEFINANCE($A77,"marketcap")/1E9,)</f>
        <v/>
      </c>
      <c r="K77" s="48">
        <f>IF(N($D77)=0,,IF(AND($G77&lt;=-'Control Center'!$B$17,AND(N($I77)&gt;0,$I77&lt;='Control Center'!$B$18)),"VALUE ZONE",IF($G77&lt;=-'Control Center'!$B$19,"WATCH","—")))</f>
        <v/>
      </c>
      <c r="L77" s="20" t="n"/>
    </row>
    <row r="78">
      <c r="A78" s="15" t="inlineStr">
        <is>
          <t>LULU</t>
        </is>
      </c>
      <c r="B78" s="20">
        <f>IFERROR(GOOGLEFINANCE($A78,"name"),)</f>
        <v/>
      </c>
      <c r="C78" s="24" t="inlineStr">
        <is>
          <t>Discretionary</t>
        </is>
      </c>
      <c r="D78" s="36">
        <f>IFERROR(GOOGLEFINANCE($A78,"price"),)</f>
        <v/>
      </c>
      <c r="E78" s="36">
        <f>IFERROR(GOOGLEFINANCE($A78,"low52"),)</f>
        <v/>
      </c>
      <c r="F78" s="36">
        <f>IFERROR(GOOGLEFINANCE($A78,"high52"),)</f>
        <v/>
      </c>
      <c r="G78" s="17">
        <f>IF(N($F78)=0,,$D78/$F78-1)</f>
        <v/>
      </c>
      <c r="H78" s="18">
        <f>IF(N($F78)-N($E78)&lt;=0,,($D78-$E78)/($F78-$E78))</f>
        <v/>
      </c>
      <c r="I78" s="47">
        <f>IFERROR(GOOGLEFINANCE($A78,"pe"),)</f>
        <v/>
      </c>
      <c r="J78" s="51">
        <f>IFERROR(GOOGLEFINANCE($A78,"marketcap")/1E9,)</f>
        <v/>
      </c>
      <c r="K78" s="48">
        <f>IF(N($D78)=0,,IF(AND($G78&lt;=-'Control Center'!$B$17,AND(N($I78)&gt;0,$I78&lt;='Control Center'!$B$18)),"VALUE ZONE",IF($G78&lt;=-'Control Center'!$B$19,"WATCH","—")))</f>
        <v/>
      </c>
      <c r="L78" s="20" t="n"/>
    </row>
    <row r="79">
      <c r="A79" s="15" t="inlineStr">
        <is>
          <t>DECK</t>
        </is>
      </c>
      <c r="B79" s="20">
        <f>IFERROR(GOOGLEFINANCE($A79,"name"),)</f>
        <v/>
      </c>
      <c r="C79" s="24" t="inlineStr">
        <is>
          <t>Discretionary</t>
        </is>
      </c>
      <c r="D79" s="36">
        <f>IFERROR(GOOGLEFINANCE($A79,"price"),)</f>
        <v/>
      </c>
      <c r="E79" s="36">
        <f>IFERROR(GOOGLEFINANCE($A79,"low52"),)</f>
        <v/>
      </c>
      <c r="F79" s="36">
        <f>IFERROR(GOOGLEFINANCE($A79,"high52"),)</f>
        <v/>
      </c>
      <c r="G79" s="17">
        <f>IF(N($F79)=0,,$D79/$F79-1)</f>
        <v/>
      </c>
      <c r="H79" s="18">
        <f>IF(N($F79)-N($E79)&lt;=0,,($D79-$E79)/($F79-$E79))</f>
        <v/>
      </c>
      <c r="I79" s="47">
        <f>IFERROR(GOOGLEFINANCE($A79,"pe"),)</f>
        <v/>
      </c>
      <c r="J79" s="51">
        <f>IFERROR(GOOGLEFINANCE($A79,"marketcap")/1E9,)</f>
        <v/>
      </c>
      <c r="K79" s="48">
        <f>IF(N($D79)=0,,IF(AND($G79&lt;=-'Control Center'!$B$17,AND(N($I79)&gt;0,$I79&lt;='Control Center'!$B$18)),"VALUE ZONE",IF($G79&lt;=-'Control Center'!$B$19,"WATCH","—")))</f>
        <v/>
      </c>
      <c r="L79" s="20" t="n"/>
    </row>
    <row r="80">
      <c r="A80" s="15" t="inlineStr">
        <is>
          <t>SBUX</t>
        </is>
      </c>
      <c r="B80" s="20">
        <f>IFERROR(GOOGLEFINANCE($A80,"name"),)</f>
        <v/>
      </c>
      <c r="C80" s="24" t="inlineStr">
        <is>
          <t>Discretionary</t>
        </is>
      </c>
      <c r="D80" s="36">
        <f>IFERROR(GOOGLEFINANCE($A80,"price"),)</f>
        <v/>
      </c>
      <c r="E80" s="36">
        <f>IFERROR(GOOGLEFINANCE($A80,"low52"),)</f>
        <v/>
      </c>
      <c r="F80" s="36">
        <f>IFERROR(GOOGLEFINANCE($A80,"high52"),)</f>
        <v/>
      </c>
      <c r="G80" s="17">
        <f>IF(N($F80)=0,,$D80/$F80-1)</f>
        <v/>
      </c>
      <c r="H80" s="18">
        <f>IF(N($F80)-N($E80)&lt;=0,,($D80-$E80)/($F80-$E80))</f>
        <v/>
      </c>
      <c r="I80" s="47">
        <f>IFERROR(GOOGLEFINANCE($A80,"pe"),)</f>
        <v/>
      </c>
      <c r="J80" s="51">
        <f>IFERROR(GOOGLEFINANCE($A80,"marketcap")/1E9,)</f>
        <v/>
      </c>
      <c r="K80" s="48">
        <f>IF(N($D80)=0,,IF(AND($G80&lt;=-'Control Center'!$B$17,AND(N($I80)&gt;0,$I80&lt;='Control Center'!$B$18)),"VALUE ZONE",IF($G80&lt;=-'Control Center'!$B$19,"WATCH","—")))</f>
        <v/>
      </c>
      <c r="L80" s="20" t="n"/>
    </row>
    <row r="81">
      <c r="A81" s="15" t="inlineStr">
        <is>
          <t>MCD</t>
        </is>
      </c>
      <c r="B81" s="20">
        <f>IFERROR(GOOGLEFINANCE($A81,"name"),)</f>
        <v/>
      </c>
      <c r="C81" s="24" t="inlineStr">
        <is>
          <t>Discretionary</t>
        </is>
      </c>
      <c r="D81" s="36">
        <f>IFERROR(GOOGLEFINANCE($A81,"price"),)</f>
        <v/>
      </c>
      <c r="E81" s="36">
        <f>IFERROR(GOOGLEFINANCE($A81,"low52"),)</f>
        <v/>
      </c>
      <c r="F81" s="36">
        <f>IFERROR(GOOGLEFINANCE($A81,"high52"),)</f>
        <v/>
      </c>
      <c r="G81" s="17">
        <f>IF(N($F81)=0,,$D81/$F81-1)</f>
        <v/>
      </c>
      <c r="H81" s="18">
        <f>IF(N($F81)-N($E81)&lt;=0,,($D81-$E81)/($F81-$E81))</f>
        <v/>
      </c>
      <c r="I81" s="47">
        <f>IFERROR(GOOGLEFINANCE($A81,"pe"),)</f>
        <v/>
      </c>
      <c r="J81" s="51">
        <f>IFERROR(GOOGLEFINANCE($A81,"marketcap")/1E9,)</f>
        <v/>
      </c>
      <c r="K81" s="48">
        <f>IF(N($D81)=0,,IF(AND($G81&lt;=-'Control Center'!$B$17,AND(N($I81)&gt;0,$I81&lt;='Control Center'!$B$18)),"VALUE ZONE",IF($G81&lt;=-'Control Center'!$B$19,"WATCH","—")))</f>
        <v/>
      </c>
      <c r="L81" s="20" t="n"/>
    </row>
    <row r="82">
      <c r="A82" s="15" t="inlineStr">
        <is>
          <t>CMG</t>
        </is>
      </c>
      <c r="B82" s="20">
        <f>IFERROR(GOOGLEFINANCE($A82,"name"),)</f>
        <v/>
      </c>
      <c r="C82" s="24" t="inlineStr">
        <is>
          <t>Discretionary</t>
        </is>
      </c>
      <c r="D82" s="36">
        <f>IFERROR(GOOGLEFINANCE($A82,"price"),)</f>
        <v/>
      </c>
      <c r="E82" s="36">
        <f>IFERROR(GOOGLEFINANCE($A82,"low52"),)</f>
        <v/>
      </c>
      <c r="F82" s="36">
        <f>IFERROR(GOOGLEFINANCE($A82,"high52"),)</f>
        <v/>
      </c>
      <c r="G82" s="17">
        <f>IF(N($F82)=0,,$D82/$F82-1)</f>
        <v/>
      </c>
      <c r="H82" s="18">
        <f>IF(N($F82)-N($E82)&lt;=0,,($D82-$E82)/($F82-$E82))</f>
        <v/>
      </c>
      <c r="I82" s="47">
        <f>IFERROR(GOOGLEFINANCE($A82,"pe"),)</f>
        <v/>
      </c>
      <c r="J82" s="51">
        <f>IFERROR(GOOGLEFINANCE($A82,"marketcap")/1E9,)</f>
        <v/>
      </c>
      <c r="K82" s="48">
        <f>IF(N($D82)=0,,IF(AND($G82&lt;=-'Control Center'!$B$17,AND(N($I82)&gt;0,$I82&lt;='Control Center'!$B$18)),"VALUE ZONE",IF($G82&lt;=-'Control Center'!$B$19,"WATCH","—")))</f>
        <v/>
      </c>
      <c r="L82" s="20" t="n"/>
    </row>
    <row r="83">
      <c r="A83" s="15" t="inlineStr">
        <is>
          <t>HD</t>
        </is>
      </c>
      <c r="B83" s="20">
        <f>IFERROR(GOOGLEFINANCE($A83,"name"),)</f>
        <v/>
      </c>
      <c r="C83" s="24" t="inlineStr">
        <is>
          <t>Discretionary</t>
        </is>
      </c>
      <c r="D83" s="36">
        <f>IFERROR(GOOGLEFINANCE($A83,"price"),)</f>
        <v/>
      </c>
      <c r="E83" s="36">
        <f>IFERROR(GOOGLEFINANCE($A83,"low52"),)</f>
        <v/>
      </c>
      <c r="F83" s="36">
        <f>IFERROR(GOOGLEFINANCE($A83,"high52"),)</f>
        <v/>
      </c>
      <c r="G83" s="17">
        <f>IF(N($F83)=0,,$D83/$F83-1)</f>
        <v/>
      </c>
      <c r="H83" s="18">
        <f>IF(N($F83)-N($E83)&lt;=0,,($D83-$E83)/($F83-$E83))</f>
        <v/>
      </c>
      <c r="I83" s="47">
        <f>IFERROR(GOOGLEFINANCE($A83,"pe"),)</f>
        <v/>
      </c>
      <c r="J83" s="51">
        <f>IFERROR(GOOGLEFINANCE($A83,"marketcap")/1E9,)</f>
        <v/>
      </c>
      <c r="K83" s="48">
        <f>IF(N($D83)=0,,IF(AND($G83&lt;=-'Control Center'!$B$17,AND(N($I83)&gt;0,$I83&lt;='Control Center'!$B$18)),"VALUE ZONE",IF($G83&lt;=-'Control Center'!$B$19,"WATCH","—")))</f>
        <v/>
      </c>
      <c r="L83" s="20" t="n"/>
    </row>
    <row r="84">
      <c r="A84" s="15" t="inlineStr">
        <is>
          <t>LOW</t>
        </is>
      </c>
      <c r="B84" s="20">
        <f>IFERROR(GOOGLEFINANCE($A84,"name"),)</f>
        <v/>
      </c>
      <c r="C84" s="24" t="inlineStr">
        <is>
          <t>Discretionary</t>
        </is>
      </c>
      <c r="D84" s="36">
        <f>IFERROR(GOOGLEFINANCE($A84,"price"),)</f>
        <v/>
      </c>
      <c r="E84" s="36">
        <f>IFERROR(GOOGLEFINANCE($A84,"low52"),)</f>
        <v/>
      </c>
      <c r="F84" s="36">
        <f>IFERROR(GOOGLEFINANCE($A84,"high52"),)</f>
        <v/>
      </c>
      <c r="G84" s="17">
        <f>IF(N($F84)=0,,$D84/$F84-1)</f>
        <v/>
      </c>
      <c r="H84" s="18">
        <f>IF(N($F84)-N($E84)&lt;=0,,($D84-$E84)/($F84-$E84))</f>
        <v/>
      </c>
      <c r="I84" s="47">
        <f>IFERROR(GOOGLEFINANCE($A84,"pe"),)</f>
        <v/>
      </c>
      <c r="J84" s="51">
        <f>IFERROR(GOOGLEFINANCE($A84,"marketcap")/1E9,)</f>
        <v/>
      </c>
      <c r="K84" s="48">
        <f>IF(N($D84)=0,,IF(AND($G84&lt;=-'Control Center'!$B$17,AND(N($I84)&gt;0,$I84&lt;='Control Center'!$B$18)),"VALUE ZONE",IF($G84&lt;=-'Control Center'!$B$19,"WATCH","—")))</f>
        <v/>
      </c>
      <c r="L84" s="20" t="n"/>
    </row>
    <row r="85">
      <c r="A85" s="15" t="inlineStr">
        <is>
          <t>TJX</t>
        </is>
      </c>
      <c r="B85" s="20">
        <f>IFERROR(GOOGLEFINANCE($A85,"name"),)</f>
        <v/>
      </c>
      <c r="C85" s="24" t="inlineStr">
        <is>
          <t>Discretionary</t>
        </is>
      </c>
      <c r="D85" s="36">
        <f>IFERROR(GOOGLEFINANCE($A85,"price"),)</f>
        <v/>
      </c>
      <c r="E85" s="36">
        <f>IFERROR(GOOGLEFINANCE($A85,"low52"),)</f>
        <v/>
      </c>
      <c r="F85" s="36">
        <f>IFERROR(GOOGLEFINANCE($A85,"high52"),)</f>
        <v/>
      </c>
      <c r="G85" s="17">
        <f>IF(N($F85)=0,,$D85/$F85-1)</f>
        <v/>
      </c>
      <c r="H85" s="18">
        <f>IF(N($F85)-N($E85)&lt;=0,,($D85-$E85)/($F85-$E85))</f>
        <v/>
      </c>
      <c r="I85" s="47">
        <f>IFERROR(GOOGLEFINANCE($A85,"pe"),)</f>
        <v/>
      </c>
      <c r="J85" s="51">
        <f>IFERROR(GOOGLEFINANCE($A85,"marketcap")/1E9,)</f>
        <v/>
      </c>
      <c r="K85" s="48">
        <f>IF(N($D85)=0,,IF(AND($G85&lt;=-'Control Center'!$B$17,AND(N($I85)&gt;0,$I85&lt;='Control Center'!$B$18)),"VALUE ZONE",IF($G85&lt;=-'Control Center'!$B$19,"WATCH","—")))</f>
        <v/>
      </c>
      <c r="L85" s="20" t="n"/>
    </row>
    <row r="86">
      <c r="A86" s="15" t="inlineStr">
        <is>
          <t>TSLA</t>
        </is>
      </c>
      <c r="B86" s="20">
        <f>IFERROR(GOOGLEFINANCE($A86,"name"),)</f>
        <v/>
      </c>
      <c r="C86" s="24" t="inlineStr">
        <is>
          <t>Discretionary</t>
        </is>
      </c>
      <c r="D86" s="36">
        <f>IFERROR(GOOGLEFINANCE($A86,"price"),)</f>
        <v/>
      </c>
      <c r="E86" s="36">
        <f>IFERROR(GOOGLEFINANCE($A86,"low52"),)</f>
        <v/>
      </c>
      <c r="F86" s="36">
        <f>IFERROR(GOOGLEFINANCE($A86,"high52"),)</f>
        <v/>
      </c>
      <c r="G86" s="17">
        <f>IF(N($F86)=0,,$D86/$F86-1)</f>
        <v/>
      </c>
      <c r="H86" s="18">
        <f>IF(N($F86)-N($E86)&lt;=0,,($D86-$E86)/($F86-$E86))</f>
        <v/>
      </c>
      <c r="I86" s="47">
        <f>IFERROR(GOOGLEFINANCE($A86,"pe"),)</f>
        <v/>
      </c>
      <c r="J86" s="51">
        <f>IFERROR(GOOGLEFINANCE($A86,"marketcap")/1E9,)</f>
        <v/>
      </c>
      <c r="K86" s="48">
        <f>IF(N($D86)=0,,IF(AND($G86&lt;=-'Control Center'!$B$17,AND(N($I86)&gt;0,$I86&lt;='Control Center'!$B$18)),"VALUE ZONE",IF($G86&lt;=-'Control Center'!$B$19,"WATCH","—")))</f>
        <v/>
      </c>
      <c r="L86" s="20" t="n"/>
    </row>
    <row r="87">
      <c r="A87" s="15" t="inlineStr">
        <is>
          <t>MAR</t>
        </is>
      </c>
      <c r="B87" s="20">
        <f>IFERROR(GOOGLEFINANCE($A87,"name"),)</f>
        <v/>
      </c>
      <c r="C87" s="24" t="inlineStr">
        <is>
          <t>Discretionary</t>
        </is>
      </c>
      <c r="D87" s="36">
        <f>IFERROR(GOOGLEFINANCE($A87,"price"),)</f>
        <v/>
      </c>
      <c r="E87" s="36">
        <f>IFERROR(GOOGLEFINANCE($A87,"low52"),)</f>
        <v/>
      </c>
      <c r="F87" s="36">
        <f>IFERROR(GOOGLEFINANCE($A87,"high52"),)</f>
        <v/>
      </c>
      <c r="G87" s="17">
        <f>IF(N($F87)=0,,$D87/$F87-1)</f>
        <v/>
      </c>
      <c r="H87" s="18">
        <f>IF(N($F87)-N($E87)&lt;=0,,($D87-$E87)/($F87-$E87))</f>
        <v/>
      </c>
      <c r="I87" s="47">
        <f>IFERROR(GOOGLEFINANCE($A87,"pe"),)</f>
        <v/>
      </c>
      <c r="J87" s="51">
        <f>IFERROR(GOOGLEFINANCE($A87,"marketcap")/1E9,)</f>
        <v/>
      </c>
      <c r="K87" s="48">
        <f>IF(N($D87)=0,,IF(AND($G87&lt;=-'Control Center'!$B$17,AND(N($I87)&gt;0,$I87&lt;='Control Center'!$B$18)),"VALUE ZONE",IF($G87&lt;=-'Control Center'!$B$19,"WATCH","—")))</f>
        <v/>
      </c>
      <c r="L87" s="20" t="n"/>
    </row>
    <row r="88">
      <c r="A88" s="15" t="inlineStr">
        <is>
          <t>UPS</t>
        </is>
      </c>
      <c r="B88" s="20">
        <f>IFERROR(GOOGLEFINANCE($A88,"name"),)</f>
        <v/>
      </c>
      <c r="C88" s="24" t="inlineStr">
        <is>
          <t>Industrials</t>
        </is>
      </c>
      <c r="D88" s="36">
        <f>IFERROR(GOOGLEFINANCE($A88,"price"),)</f>
        <v/>
      </c>
      <c r="E88" s="36">
        <f>IFERROR(GOOGLEFINANCE($A88,"low52"),)</f>
        <v/>
      </c>
      <c r="F88" s="36">
        <f>IFERROR(GOOGLEFINANCE($A88,"high52"),)</f>
        <v/>
      </c>
      <c r="G88" s="17">
        <f>IF(N($F88)=0,,$D88/$F88-1)</f>
        <v/>
      </c>
      <c r="H88" s="18">
        <f>IF(N($F88)-N($E88)&lt;=0,,($D88-$E88)/($F88-$E88))</f>
        <v/>
      </c>
      <c r="I88" s="47">
        <f>IFERROR(GOOGLEFINANCE($A88,"pe"),)</f>
        <v/>
      </c>
      <c r="J88" s="51">
        <f>IFERROR(GOOGLEFINANCE($A88,"marketcap")/1E9,)</f>
        <v/>
      </c>
      <c r="K88" s="48">
        <f>IF(N($D88)=0,,IF(AND($G88&lt;=-'Control Center'!$B$17,AND(N($I88)&gt;0,$I88&lt;='Control Center'!$B$18)),"VALUE ZONE",IF($G88&lt;=-'Control Center'!$B$19,"WATCH","—")))</f>
        <v/>
      </c>
      <c r="L88" s="20" t="n"/>
    </row>
    <row r="89">
      <c r="A89" s="15" t="inlineStr">
        <is>
          <t>FDX</t>
        </is>
      </c>
      <c r="B89" s="20">
        <f>IFERROR(GOOGLEFINANCE($A89,"name"),)</f>
        <v/>
      </c>
      <c r="C89" s="24" t="inlineStr">
        <is>
          <t>Industrials</t>
        </is>
      </c>
      <c r="D89" s="36">
        <f>IFERROR(GOOGLEFINANCE($A89,"price"),)</f>
        <v/>
      </c>
      <c r="E89" s="36">
        <f>IFERROR(GOOGLEFINANCE($A89,"low52"),)</f>
        <v/>
      </c>
      <c r="F89" s="36">
        <f>IFERROR(GOOGLEFINANCE($A89,"high52"),)</f>
        <v/>
      </c>
      <c r="G89" s="17">
        <f>IF(N($F89)=0,,$D89/$F89-1)</f>
        <v/>
      </c>
      <c r="H89" s="18">
        <f>IF(N($F89)-N($E89)&lt;=0,,($D89-$E89)/($F89-$E89))</f>
        <v/>
      </c>
      <c r="I89" s="47">
        <f>IFERROR(GOOGLEFINANCE($A89,"pe"),)</f>
        <v/>
      </c>
      <c r="J89" s="51">
        <f>IFERROR(GOOGLEFINANCE($A89,"marketcap")/1E9,)</f>
        <v/>
      </c>
      <c r="K89" s="48">
        <f>IF(N($D89)=0,,IF(AND($G89&lt;=-'Control Center'!$B$17,AND(N($I89)&gt;0,$I89&lt;='Control Center'!$B$18)),"VALUE ZONE",IF($G89&lt;=-'Control Center'!$B$19,"WATCH","—")))</f>
        <v/>
      </c>
      <c r="L89" s="20" t="n"/>
    </row>
    <row r="90">
      <c r="A90" s="15" t="inlineStr">
        <is>
          <t>UNP</t>
        </is>
      </c>
      <c r="B90" s="20">
        <f>IFERROR(GOOGLEFINANCE($A90,"name"),)</f>
        <v/>
      </c>
      <c r="C90" s="24" t="inlineStr">
        <is>
          <t>Industrials</t>
        </is>
      </c>
      <c r="D90" s="36">
        <f>IFERROR(GOOGLEFINANCE($A90,"price"),)</f>
        <v/>
      </c>
      <c r="E90" s="36">
        <f>IFERROR(GOOGLEFINANCE($A90,"low52"),)</f>
        <v/>
      </c>
      <c r="F90" s="36">
        <f>IFERROR(GOOGLEFINANCE($A90,"high52"),)</f>
        <v/>
      </c>
      <c r="G90" s="17">
        <f>IF(N($F90)=0,,$D90/$F90-1)</f>
        <v/>
      </c>
      <c r="H90" s="18">
        <f>IF(N($F90)-N($E90)&lt;=0,,($D90-$E90)/($F90-$E90))</f>
        <v/>
      </c>
      <c r="I90" s="47">
        <f>IFERROR(GOOGLEFINANCE($A90,"pe"),)</f>
        <v/>
      </c>
      <c r="J90" s="51">
        <f>IFERROR(GOOGLEFINANCE($A90,"marketcap")/1E9,)</f>
        <v/>
      </c>
      <c r="K90" s="48">
        <f>IF(N($D90)=0,,IF(AND($G90&lt;=-'Control Center'!$B$17,AND(N($I90)&gt;0,$I90&lt;='Control Center'!$B$18)),"VALUE ZONE",IF($G90&lt;=-'Control Center'!$B$19,"WATCH","—")))</f>
        <v/>
      </c>
      <c r="L90" s="20" t="n"/>
    </row>
    <row r="91">
      <c r="A91" s="15" t="inlineStr">
        <is>
          <t>CAT</t>
        </is>
      </c>
      <c r="B91" s="20">
        <f>IFERROR(GOOGLEFINANCE($A91,"name"),)</f>
        <v/>
      </c>
      <c r="C91" s="24" t="inlineStr">
        <is>
          <t>Industrials</t>
        </is>
      </c>
      <c r="D91" s="36">
        <f>IFERROR(GOOGLEFINANCE($A91,"price"),)</f>
        <v/>
      </c>
      <c r="E91" s="36">
        <f>IFERROR(GOOGLEFINANCE($A91,"low52"),)</f>
        <v/>
      </c>
      <c r="F91" s="36">
        <f>IFERROR(GOOGLEFINANCE($A91,"high52"),)</f>
        <v/>
      </c>
      <c r="G91" s="17">
        <f>IF(N($F91)=0,,$D91/$F91-1)</f>
        <v/>
      </c>
      <c r="H91" s="18">
        <f>IF(N($F91)-N($E91)&lt;=0,,($D91-$E91)/($F91-$E91))</f>
        <v/>
      </c>
      <c r="I91" s="47">
        <f>IFERROR(GOOGLEFINANCE($A91,"pe"),)</f>
        <v/>
      </c>
      <c r="J91" s="51">
        <f>IFERROR(GOOGLEFINANCE($A91,"marketcap")/1E9,)</f>
        <v/>
      </c>
      <c r="K91" s="48">
        <f>IF(N($D91)=0,,IF(AND($G91&lt;=-'Control Center'!$B$17,AND(N($I91)&gt;0,$I91&lt;='Control Center'!$B$18)),"VALUE ZONE",IF($G91&lt;=-'Control Center'!$B$19,"WATCH","—")))</f>
        <v/>
      </c>
      <c r="L91" s="20" t="n"/>
    </row>
    <row r="92">
      <c r="A92" s="15" t="inlineStr">
        <is>
          <t>DE</t>
        </is>
      </c>
      <c r="B92" s="20">
        <f>IFERROR(GOOGLEFINANCE($A92,"name"),)</f>
        <v/>
      </c>
      <c r="C92" s="24" t="inlineStr">
        <is>
          <t>Industrials</t>
        </is>
      </c>
      <c r="D92" s="36">
        <f>IFERROR(GOOGLEFINANCE($A92,"price"),)</f>
        <v/>
      </c>
      <c r="E92" s="36">
        <f>IFERROR(GOOGLEFINANCE($A92,"low52"),)</f>
        <v/>
      </c>
      <c r="F92" s="36">
        <f>IFERROR(GOOGLEFINANCE($A92,"high52"),)</f>
        <v/>
      </c>
      <c r="G92" s="17">
        <f>IF(N($F92)=0,,$D92/$F92-1)</f>
        <v/>
      </c>
      <c r="H92" s="18">
        <f>IF(N($F92)-N($E92)&lt;=0,,($D92-$E92)/($F92-$E92))</f>
        <v/>
      </c>
      <c r="I92" s="47">
        <f>IFERROR(GOOGLEFINANCE($A92,"pe"),)</f>
        <v/>
      </c>
      <c r="J92" s="51">
        <f>IFERROR(GOOGLEFINANCE($A92,"marketcap")/1E9,)</f>
        <v/>
      </c>
      <c r="K92" s="48">
        <f>IF(N($D92)=0,,IF(AND($G92&lt;=-'Control Center'!$B$17,AND(N($I92)&gt;0,$I92&lt;='Control Center'!$B$18)),"VALUE ZONE",IF($G92&lt;=-'Control Center'!$B$19,"WATCH","—")))</f>
        <v/>
      </c>
      <c r="L92" s="20" t="n"/>
    </row>
    <row r="93">
      <c r="A93" s="15" t="inlineStr">
        <is>
          <t>ETN</t>
        </is>
      </c>
      <c r="B93" s="20">
        <f>IFERROR(GOOGLEFINANCE($A93,"name"),)</f>
        <v/>
      </c>
      <c r="C93" s="24" t="inlineStr">
        <is>
          <t>Industrials</t>
        </is>
      </c>
      <c r="D93" s="36">
        <f>IFERROR(GOOGLEFINANCE($A93,"price"),)</f>
        <v/>
      </c>
      <c r="E93" s="36">
        <f>IFERROR(GOOGLEFINANCE($A93,"low52"),)</f>
        <v/>
      </c>
      <c r="F93" s="36">
        <f>IFERROR(GOOGLEFINANCE($A93,"high52"),)</f>
        <v/>
      </c>
      <c r="G93" s="17">
        <f>IF(N($F93)=0,,$D93/$F93-1)</f>
        <v/>
      </c>
      <c r="H93" s="18">
        <f>IF(N($F93)-N($E93)&lt;=0,,($D93-$E93)/($F93-$E93))</f>
        <v/>
      </c>
      <c r="I93" s="47">
        <f>IFERROR(GOOGLEFINANCE($A93,"pe"),)</f>
        <v/>
      </c>
      <c r="J93" s="51">
        <f>IFERROR(GOOGLEFINANCE($A93,"marketcap")/1E9,)</f>
        <v/>
      </c>
      <c r="K93" s="48">
        <f>IF(N($D93)=0,,IF(AND($G93&lt;=-'Control Center'!$B$17,AND(N($I93)&gt;0,$I93&lt;='Control Center'!$B$18)),"VALUE ZONE",IF($G93&lt;=-'Control Center'!$B$19,"WATCH","—")))</f>
        <v/>
      </c>
      <c r="L93" s="20" t="n"/>
    </row>
    <row r="94">
      <c r="A94" s="15" t="inlineStr">
        <is>
          <t>EMR</t>
        </is>
      </c>
      <c r="B94" s="20">
        <f>IFERROR(GOOGLEFINANCE($A94,"name"),)</f>
        <v/>
      </c>
      <c r="C94" s="24" t="inlineStr">
        <is>
          <t>Industrials</t>
        </is>
      </c>
      <c r="D94" s="36">
        <f>IFERROR(GOOGLEFINANCE($A94,"price"),)</f>
        <v/>
      </c>
      <c r="E94" s="36">
        <f>IFERROR(GOOGLEFINANCE($A94,"low52"),)</f>
        <v/>
      </c>
      <c r="F94" s="36">
        <f>IFERROR(GOOGLEFINANCE($A94,"high52"),)</f>
        <v/>
      </c>
      <c r="G94" s="17">
        <f>IF(N($F94)=0,,$D94/$F94-1)</f>
        <v/>
      </c>
      <c r="H94" s="18">
        <f>IF(N($F94)-N($E94)&lt;=0,,($D94-$E94)/($F94-$E94))</f>
        <v/>
      </c>
      <c r="I94" s="47">
        <f>IFERROR(GOOGLEFINANCE($A94,"pe"),)</f>
        <v/>
      </c>
      <c r="J94" s="51">
        <f>IFERROR(GOOGLEFINANCE($A94,"marketcap")/1E9,)</f>
        <v/>
      </c>
      <c r="K94" s="48">
        <f>IF(N($D94)=0,,IF(AND($G94&lt;=-'Control Center'!$B$17,AND(N($I94)&gt;0,$I94&lt;='Control Center'!$B$18)),"VALUE ZONE",IF($G94&lt;=-'Control Center'!$B$19,"WATCH","—")))</f>
        <v/>
      </c>
      <c r="L94" s="20" t="n"/>
    </row>
    <row r="95">
      <c r="A95" s="15" t="inlineStr">
        <is>
          <t>WM</t>
        </is>
      </c>
      <c r="B95" s="20">
        <f>IFERROR(GOOGLEFINANCE($A95,"name"),)</f>
        <v/>
      </c>
      <c r="C95" s="24" t="inlineStr">
        <is>
          <t>Industrials</t>
        </is>
      </c>
      <c r="D95" s="36">
        <f>IFERROR(GOOGLEFINANCE($A95,"price"),)</f>
        <v/>
      </c>
      <c r="E95" s="36">
        <f>IFERROR(GOOGLEFINANCE($A95,"low52"),)</f>
        <v/>
      </c>
      <c r="F95" s="36">
        <f>IFERROR(GOOGLEFINANCE($A95,"high52"),)</f>
        <v/>
      </c>
      <c r="G95" s="17">
        <f>IF(N($F95)=0,,$D95/$F95-1)</f>
        <v/>
      </c>
      <c r="H95" s="18">
        <f>IF(N($F95)-N($E95)&lt;=0,,($D95-$E95)/($F95-$E95))</f>
        <v/>
      </c>
      <c r="I95" s="47">
        <f>IFERROR(GOOGLEFINANCE($A95,"pe"),)</f>
        <v/>
      </c>
      <c r="J95" s="51">
        <f>IFERROR(GOOGLEFINANCE($A95,"marketcap")/1E9,)</f>
        <v/>
      </c>
      <c r="K95" s="48">
        <f>IF(N($D95)=0,,IF(AND($G95&lt;=-'Control Center'!$B$17,AND(N($I95)&gt;0,$I95&lt;='Control Center'!$B$18)),"VALUE ZONE",IF($G95&lt;=-'Control Center'!$B$19,"WATCH","—")))</f>
        <v/>
      </c>
      <c r="L95" s="20" t="n"/>
    </row>
    <row r="96">
      <c r="A96" s="15" t="inlineStr">
        <is>
          <t>URI</t>
        </is>
      </c>
      <c r="B96" s="20">
        <f>IFERROR(GOOGLEFINANCE($A96,"name"),)</f>
        <v/>
      </c>
      <c r="C96" s="24" t="inlineStr">
        <is>
          <t>Industrials</t>
        </is>
      </c>
      <c r="D96" s="36">
        <f>IFERROR(GOOGLEFINANCE($A96,"price"),)</f>
        <v/>
      </c>
      <c r="E96" s="36">
        <f>IFERROR(GOOGLEFINANCE($A96,"low52"),)</f>
        <v/>
      </c>
      <c r="F96" s="36">
        <f>IFERROR(GOOGLEFINANCE($A96,"high52"),)</f>
        <v/>
      </c>
      <c r="G96" s="17">
        <f>IF(N($F96)=0,,$D96/$F96-1)</f>
        <v/>
      </c>
      <c r="H96" s="18">
        <f>IF(N($F96)-N($E96)&lt;=0,,($D96-$E96)/($F96-$E96))</f>
        <v/>
      </c>
      <c r="I96" s="47">
        <f>IFERROR(GOOGLEFINANCE($A96,"pe"),)</f>
        <v/>
      </c>
      <c r="J96" s="51">
        <f>IFERROR(GOOGLEFINANCE($A96,"marketcap")/1E9,)</f>
        <v/>
      </c>
      <c r="K96" s="48">
        <f>IF(N($D96)=0,,IF(AND($G96&lt;=-'Control Center'!$B$17,AND(N($I96)&gt;0,$I96&lt;='Control Center'!$B$18)),"VALUE ZONE",IF($G96&lt;=-'Control Center'!$B$19,"WATCH","—")))</f>
        <v/>
      </c>
      <c r="L96" s="20" t="n"/>
    </row>
    <row r="97">
      <c r="A97" s="15" t="inlineStr">
        <is>
          <t>VRT</t>
        </is>
      </c>
      <c r="B97" s="20">
        <f>IFERROR(GOOGLEFINANCE($A97,"name"),)</f>
        <v/>
      </c>
      <c r="C97" s="24" t="inlineStr">
        <is>
          <t>Industrials</t>
        </is>
      </c>
      <c r="D97" s="36">
        <f>IFERROR(GOOGLEFINANCE($A97,"price"),)</f>
        <v/>
      </c>
      <c r="E97" s="36">
        <f>IFERROR(GOOGLEFINANCE($A97,"low52"),)</f>
        <v/>
      </c>
      <c r="F97" s="36">
        <f>IFERROR(GOOGLEFINANCE($A97,"high52"),)</f>
        <v/>
      </c>
      <c r="G97" s="17">
        <f>IF(N($F97)=0,,$D97/$F97-1)</f>
        <v/>
      </c>
      <c r="H97" s="18">
        <f>IF(N($F97)-N($E97)&lt;=0,,($D97-$E97)/($F97-$E97))</f>
        <v/>
      </c>
      <c r="I97" s="47">
        <f>IFERROR(GOOGLEFINANCE($A97,"pe"),)</f>
        <v/>
      </c>
      <c r="J97" s="51">
        <f>IFERROR(GOOGLEFINANCE($A97,"marketcap")/1E9,)</f>
        <v/>
      </c>
      <c r="K97" s="48">
        <f>IF(N($D97)=0,,IF(AND($G97&lt;=-'Control Center'!$B$17,AND(N($I97)&gt;0,$I97&lt;='Control Center'!$B$18)),"VALUE ZONE",IF($G97&lt;=-'Control Center'!$B$19,"WATCH","—")))</f>
        <v/>
      </c>
      <c r="L97" s="20" t="n"/>
    </row>
    <row r="98">
      <c r="A98" s="15" t="inlineStr">
        <is>
          <t>XOM</t>
        </is>
      </c>
      <c r="B98" s="20">
        <f>IFERROR(GOOGLEFINANCE($A98,"name"),)</f>
        <v/>
      </c>
      <c r="C98" s="24" t="inlineStr">
        <is>
          <t>Energy &amp; materials</t>
        </is>
      </c>
      <c r="D98" s="36">
        <f>IFERROR(GOOGLEFINANCE($A98,"price"),)</f>
        <v/>
      </c>
      <c r="E98" s="36">
        <f>IFERROR(GOOGLEFINANCE($A98,"low52"),)</f>
        <v/>
      </c>
      <c r="F98" s="36">
        <f>IFERROR(GOOGLEFINANCE($A98,"high52"),)</f>
        <v/>
      </c>
      <c r="G98" s="17">
        <f>IF(N($F98)=0,,$D98/$F98-1)</f>
        <v/>
      </c>
      <c r="H98" s="18">
        <f>IF(N($F98)-N($E98)&lt;=0,,($D98-$E98)/($F98-$E98))</f>
        <v/>
      </c>
      <c r="I98" s="47">
        <f>IFERROR(GOOGLEFINANCE($A98,"pe"),)</f>
        <v/>
      </c>
      <c r="J98" s="51">
        <f>IFERROR(GOOGLEFINANCE($A98,"marketcap")/1E9,)</f>
        <v/>
      </c>
      <c r="K98" s="48">
        <f>IF(N($D98)=0,,IF(AND($G98&lt;=-'Control Center'!$B$17,AND(N($I98)&gt;0,$I98&lt;='Control Center'!$B$18)),"VALUE ZONE",IF($G98&lt;=-'Control Center'!$B$19,"WATCH","—")))</f>
        <v/>
      </c>
      <c r="L98" s="20" t="n"/>
    </row>
    <row r="99">
      <c r="A99" s="15" t="inlineStr">
        <is>
          <t>CVX</t>
        </is>
      </c>
      <c r="B99" s="20">
        <f>IFERROR(GOOGLEFINANCE($A99,"name"),)</f>
        <v/>
      </c>
      <c r="C99" s="24" t="inlineStr">
        <is>
          <t>Energy &amp; materials</t>
        </is>
      </c>
      <c r="D99" s="36">
        <f>IFERROR(GOOGLEFINANCE($A99,"price"),)</f>
        <v/>
      </c>
      <c r="E99" s="36">
        <f>IFERROR(GOOGLEFINANCE($A99,"low52"),)</f>
        <v/>
      </c>
      <c r="F99" s="36">
        <f>IFERROR(GOOGLEFINANCE($A99,"high52"),)</f>
        <v/>
      </c>
      <c r="G99" s="17">
        <f>IF(N($F99)=0,,$D99/$F99-1)</f>
        <v/>
      </c>
      <c r="H99" s="18">
        <f>IF(N($F99)-N($E99)&lt;=0,,($D99-$E99)/($F99-$E99))</f>
        <v/>
      </c>
      <c r="I99" s="47">
        <f>IFERROR(GOOGLEFINANCE($A99,"pe"),)</f>
        <v/>
      </c>
      <c r="J99" s="51">
        <f>IFERROR(GOOGLEFINANCE($A99,"marketcap")/1E9,)</f>
        <v/>
      </c>
      <c r="K99" s="48">
        <f>IF(N($D99)=0,,IF(AND($G99&lt;=-'Control Center'!$B$17,AND(N($I99)&gt;0,$I99&lt;='Control Center'!$B$18)),"VALUE ZONE",IF($G99&lt;=-'Control Center'!$B$19,"WATCH","—")))</f>
        <v/>
      </c>
      <c r="L99" s="20" t="n"/>
    </row>
    <row r="100">
      <c r="A100" s="15" t="inlineStr">
        <is>
          <t>COP</t>
        </is>
      </c>
      <c r="B100" s="20">
        <f>IFERROR(GOOGLEFINANCE($A100,"name"),)</f>
        <v/>
      </c>
      <c r="C100" s="24" t="inlineStr">
        <is>
          <t>Energy &amp; materials</t>
        </is>
      </c>
      <c r="D100" s="36">
        <f>IFERROR(GOOGLEFINANCE($A100,"price"),)</f>
        <v/>
      </c>
      <c r="E100" s="36">
        <f>IFERROR(GOOGLEFINANCE($A100,"low52"),)</f>
        <v/>
      </c>
      <c r="F100" s="36">
        <f>IFERROR(GOOGLEFINANCE($A100,"high52"),)</f>
        <v/>
      </c>
      <c r="G100" s="17">
        <f>IF(N($F100)=0,,$D100/$F100-1)</f>
        <v/>
      </c>
      <c r="H100" s="18">
        <f>IF(N($F100)-N($E100)&lt;=0,,($D100-$E100)/($F100-$E100))</f>
        <v/>
      </c>
      <c r="I100" s="47">
        <f>IFERROR(GOOGLEFINANCE($A100,"pe"),)</f>
        <v/>
      </c>
      <c r="J100" s="51">
        <f>IFERROR(GOOGLEFINANCE($A100,"marketcap")/1E9,)</f>
        <v/>
      </c>
      <c r="K100" s="48">
        <f>IF(N($D100)=0,,IF(AND($G100&lt;=-'Control Center'!$B$17,AND(N($I100)&gt;0,$I100&lt;='Control Center'!$B$18)),"VALUE ZONE",IF($G100&lt;=-'Control Center'!$B$19,"WATCH","—")))</f>
        <v/>
      </c>
      <c r="L100" s="20" t="n"/>
    </row>
    <row r="101">
      <c r="A101" s="15" t="inlineStr">
        <is>
          <t>EOG</t>
        </is>
      </c>
      <c r="B101" s="20">
        <f>IFERROR(GOOGLEFINANCE($A101,"name"),)</f>
        <v/>
      </c>
      <c r="C101" s="24" t="inlineStr">
        <is>
          <t>Energy &amp; materials</t>
        </is>
      </c>
      <c r="D101" s="36">
        <f>IFERROR(GOOGLEFINANCE($A101,"price"),)</f>
        <v/>
      </c>
      <c r="E101" s="36">
        <f>IFERROR(GOOGLEFINANCE($A101,"low52"),)</f>
        <v/>
      </c>
      <c r="F101" s="36">
        <f>IFERROR(GOOGLEFINANCE($A101,"high52"),)</f>
        <v/>
      </c>
      <c r="G101" s="17">
        <f>IF(N($F101)=0,,$D101/$F101-1)</f>
        <v/>
      </c>
      <c r="H101" s="18">
        <f>IF(N($F101)-N($E101)&lt;=0,,($D101-$E101)/($F101-$E101))</f>
        <v/>
      </c>
      <c r="I101" s="47">
        <f>IFERROR(GOOGLEFINANCE($A101,"pe"),)</f>
        <v/>
      </c>
      <c r="J101" s="51">
        <f>IFERROR(GOOGLEFINANCE($A101,"marketcap")/1E9,)</f>
        <v/>
      </c>
      <c r="K101" s="48">
        <f>IF(N($D101)=0,,IF(AND($G101&lt;=-'Control Center'!$B$17,AND(N($I101)&gt;0,$I101&lt;='Control Center'!$B$18)),"VALUE ZONE",IF($G101&lt;=-'Control Center'!$B$19,"WATCH","—")))</f>
        <v/>
      </c>
      <c r="L101" s="20" t="n"/>
    </row>
    <row r="102">
      <c r="A102" s="15" t="inlineStr">
        <is>
          <t>SLB</t>
        </is>
      </c>
      <c r="B102" s="20">
        <f>IFERROR(GOOGLEFINANCE($A102,"name"),)</f>
        <v/>
      </c>
      <c r="C102" s="24" t="inlineStr">
        <is>
          <t>Energy &amp; materials</t>
        </is>
      </c>
      <c r="D102" s="36">
        <f>IFERROR(GOOGLEFINANCE($A102,"price"),)</f>
        <v/>
      </c>
      <c r="E102" s="36">
        <f>IFERROR(GOOGLEFINANCE($A102,"low52"),)</f>
        <v/>
      </c>
      <c r="F102" s="36">
        <f>IFERROR(GOOGLEFINANCE($A102,"high52"),)</f>
        <v/>
      </c>
      <c r="G102" s="17">
        <f>IF(N($F102)=0,,$D102/$F102-1)</f>
        <v/>
      </c>
      <c r="H102" s="18">
        <f>IF(N($F102)-N($E102)&lt;=0,,($D102-$E102)/($F102-$E102))</f>
        <v/>
      </c>
      <c r="I102" s="47">
        <f>IFERROR(GOOGLEFINANCE($A102,"pe"),)</f>
        <v/>
      </c>
      <c r="J102" s="51">
        <f>IFERROR(GOOGLEFINANCE($A102,"marketcap")/1E9,)</f>
        <v/>
      </c>
      <c r="K102" s="48">
        <f>IF(N($D102)=0,,IF(AND($G102&lt;=-'Control Center'!$B$17,AND(N($I102)&gt;0,$I102&lt;='Control Center'!$B$18)),"VALUE ZONE",IF($G102&lt;=-'Control Center'!$B$19,"WATCH","—")))</f>
        <v/>
      </c>
      <c r="L102" s="20" t="n"/>
    </row>
    <row r="103">
      <c r="A103" s="15" t="inlineStr">
        <is>
          <t>LIN</t>
        </is>
      </c>
      <c r="B103" s="20">
        <f>IFERROR(GOOGLEFINANCE($A103,"name"),)</f>
        <v/>
      </c>
      <c r="C103" s="24" t="inlineStr">
        <is>
          <t>Energy &amp; materials</t>
        </is>
      </c>
      <c r="D103" s="36">
        <f>IFERROR(GOOGLEFINANCE($A103,"price"),)</f>
        <v/>
      </c>
      <c r="E103" s="36">
        <f>IFERROR(GOOGLEFINANCE($A103,"low52"),)</f>
        <v/>
      </c>
      <c r="F103" s="36">
        <f>IFERROR(GOOGLEFINANCE($A103,"high52"),)</f>
        <v/>
      </c>
      <c r="G103" s="17">
        <f>IF(N($F103)=0,,$D103/$F103-1)</f>
        <v/>
      </c>
      <c r="H103" s="18">
        <f>IF(N($F103)-N($E103)&lt;=0,,($D103-$E103)/($F103-$E103))</f>
        <v/>
      </c>
      <c r="I103" s="47">
        <f>IFERROR(GOOGLEFINANCE($A103,"pe"),)</f>
        <v/>
      </c>
      <c r="J103" s="51">
        <f>IFERROR(GOOGLEFINANCE($A103,"marketcap")/1E9,)</f>
        <v/>
      </c>
      <c r="K103" s="48">
        <f>IF(N($D103)=0,,IF(AND($G103&lt;=-'Control Center'!$B$17,AND(N($I103)&gt;0,$I103&lt;='Control Center'!$B$18)),"VALUE ZONE",IF($G103&lt;=-'Control Center'!$B$19,"WATCH","—")))</f>
        <v/>
      </c>
      <c r="L103" s="20" t="n"/>
    </row>
    <row r="104">
      <c r="A104" s="15" t="inlineStr">
        <is>
          <t>SHW</t>
        </is>
      </c>
      <c r="B104" s="20">
        <f>IFERROR(GOOGLEFINANCE($A104,"name"),)</f>
        <v/>
      </c>
      <c r="C104" s="24" t="inlineStr">
        <is>
          <t>Energy &amp; materials</t>
        </is>
      </c>
      <c r="D104" s="36">
        <f>IFERROR(GOOGLEFINANCE($A104,"price"),)</f>
        <v/>
      </c>
      <c r="E104" s="36">
        <f>IFERROR(GOOGLEFINANCE($A104,"low52"),)</f>
        <v/>
      </c>
      <c r="F104" s="36">
        <f>IFERROR(GOOGLEFINANCE($A104,"high52"),)</f>
        <v/>
      </c>
      <c r="G104" s="17">
        <f>IF(N($F104)=0,,$D104/$F104-1)</f>
        <v/>
      </c>
      <c r="H104" s="18">
        <f>IF(N($F104)-N($E104)&lt;=0,,($D104-$E104)/($F104-$E104))</f>
        <v/>
      </c>
      <c r="I104" s="47">
        <f>IFERROR(GOOGLEFINANCE($A104,"pe"),)</f>
        <v/>
      </c>
      <c r="J104" s="51">
        <f>IFERROR(GOOGLEFINANCE($A104,"marketcap")/1E9,)</f>
        <v/>
      </c>
      <c r="K104" s="48">
        <f>IF(N($D104)=0,,IF(AND($G104&lt;=-'Control Center'!$B$17,AND(N($I104)&gt;0,$I104&lt;='Control Center'!$B$18)),"VALUE ZONE",IF($G104&lt;=-'Control Center'!$B$19,"WATCH","—")))</f>
        <v/>
      </c>
      <c r="L104" s="20" t="n"/>
    </row>
    <row r="105">
      <c r="A105" s="15" t="inlineStr">
        <is>
          <t>DOW</t>
        </is>
      </c>
      <c r="B105" s="20">
        <f>IFERROR(GOOGLEFINANCE($A105,"name"),)</f>
        <v/>
      </c>
      <c r="C105" s="24" t="inlineStr">
        <is>
          <t>Energy &amp; materials</t>
        </is>
      </c>
      <c r="D105" s="36">
        <f>IFERROR(GOOGLEFINANCE($A105,"price"),)</f>
        <v/>
      </c>
      <c r="E105" s="36">
        <f>IFERROR(GOOGLEFINANCE($A105,"low52"),)</f>
        <v/>
      </c>
      <c r="F105" s="36">
        <f>IFERROR(GOOGLEFINANCE($A105,"high52"),)</f>
        <v/>
      </c>
      <c r="G105" s="17">
        <f>IF(N($F105)=0,,$D105/$F105-1)</f>
        <v/>
      </c>
      <c r="H105" s="18">
        <f>IF(N($F105)-N($E105)&lt;=0,,($D105-$E105)/($F105-$E105))</f>
        <v/>
      </c>
      <c r="I105" s="47">
        <f>IFERROR(GOOGLEFINANCE($A105,"pe"),)</f>
        <v/>
      </c>
      <c r="J105" s="51">
        <f>IFERROR(GOOGLEFINANCE($A105,"marketcap")/1E9,)</f>
        <v/>
      </c>
      <c r="K105" s="48">
        <f>IF(N($D105)=0,,IF(AND($G105&lt;=-'Control Center'!$B$17,AND(N($I105)&gt;0,$I105&lt;='Control Center'!$B$18)),"VALUE ZONE",IF($G105&lt;=-'Control Center'!$B$19,"WATCH","—")))</f>
        <v/>
      </c>
      <c r="L105" s="20" t="n"/>
    </row>
    <row r="106">
      <c r="A106" s="15" t="inlineStr">
        <is>
          <t>LYB</t>
        </is>
      </c>
      <c r="B106" s="20">
        <f>IFERROR(GOOGLEFINANCE($A106,"name"),)</f>
        <v/>
      </c>
      <c r="C106" s="24" t="inlineStr">
        <is>
          <t>Energy &amp; materials</t>
        </is>
      </c>
      <c r="D106" s="36">
        <f>IFERROR(GOOGLEFINANCE($A106,"price"),)</f>
        <v/>
      </c>
      <c r="E106" s="36">
        <f>IFERROR(GOOGLEFINANCE($A106,"low52"),)</f>
        <v/>
      </c>
      <c r="F106" s="36">
        <f>IFERROR(GOOGLEFINANCE($A106,"high52"),)</f>
        <v/>
      </c>
      <c r="G106" s="17">
        <f>IF(N($F106)=0,,$D106/$F106-1)</f>
        <v/>
      </c>
      <c r="H106" s="18">
        <f>IF(N($F106)-N($E106)&lt;=0,,($D106-$E106)/($F106-$E106))</f>
        <v/>
      </c>
      <c r="I106" s="47">
        <f>IFERROR(GOOGLEFINANCE($A106,"pe"),)</f>
        <v/>
      </c>
      <c r="J106" s="51">
        <f>IFERROR(GOOGLEFINANCE($A106,"marketcap")/1E9,)</f>
        <v/>
      </c>
      <c r="K106" s="48">
        <f>IF(N($D106)=0,,IF(AND($G106&lt;=-'Control Center'!$B$17,AND(N($I106)&gt;0,$I106&lt;='Control Center'!$B$18)),"VALUE ZONE",IF($G106&lt;=-'Control Center'!$B$19,"WATCH","—")))</f>
        <v/>
      </c>
      <c r="L106" s="20" t="n"/>
    </row>
    <row r="107">
      <c r="A107" s="15" t="inlineStr">
        <is>
          <t>NUE</t>
        </is>
      </c>
      <c r="B107" s="20">
        <f>IFERROR(GOOGLEFINANCE($A107,"name"),)</f>
        <v/>
      </c>
      <c r="C107" s="24" t="inlineStr">
        <is>
          <t>Energy &amp; materials</t>
        </is>
      </c>
      <c r="D107" s="36">
        <f>IFERROR(GOOGLEFINANCE($A107,"price"),)</f>
        <v/>
      </c>
      <c r="E107" s="36">
        <f>IFERROR(GOOGLEFINANCE($A107,"low52"),)</f>
        <v/>
      </c>
      <c r="F107" s="36">
        <f>IFERROR(GOOGLEFINANCE($A107,"high52"),)</f>
        <v/>
      </c>
      <c r="G107" s="17">
        <f>IF(N($F107)=0,,$D107/$F107-1)</f>
        <v/>
      </c>
      <c r="H107" s="18">
        <f>IF(N($F107)-N($E107)&lt;=0,,($D107-$E107)/($F107-$E107))</f>
        <v/>
      </c>
      <c r="I107" s="47">
        <f>IFERROR(GOOGLEFINANCE($A107,"pe"),)</f>
        <v/>
      </c>
      <c r="J107" s="51">
        <f>IFERROR(GOOGLEFINANCE($A107,"marketcap")/1E9,)</f>
        <v/>
      </c>
      <c r="K107" s="48">
        <f>IF(N($D107)=0,,IF(AND($G107&lt;=-'Control Center'!$B$17,AND(N($I107)&gt;0,$I107&lt;='Control Center'!$B$18)),"VALUE ZONE",IF($G107&lt;=-'Control Center'!$B$19,"WATCH","—")))</f>
        <v/>
      </c>
      <c r="L107" s="20" t="n"/>
    </row>
    <row r="108">
      <c r="A108" s="15" t="inlineStr">
        <is>
          <t>FCX</t>
        </is>
      </c>
      <c r="B108" s="20">
        <f>IFERROR(GOOGLEFINANCE($A108,"name"),)</f>
        <v/>
      </c>
      <c r="C108" s="24" t="inlineStr">
        <is>
          <t>Energy &amp; materials</t>
        </is>
      </c>
      <c r="D108" s="36">
        <f>IFERROR(GOOGLEFINANCE($A108,"price"),)</f>
        <v/>
      </c>
      <c r="E108" s="36">
        <f>IFERROR(GOOGLEFINANCE($A108,"low52"),)</f>
        <v/>
      </c>
      <c r="F108" s="36">
        <f>IFERROR(GOOGLEFINANCE($A108,"high52"),)</f>
        <v/>
      </c>
      <c r="G108" s="17">
        <f>IF(N($F108)=0,,$D108/$F108-1)</f>
        <v/>
      </c>
      <c r="H108" s="18">
        <f>IF(N($F108)-N($E108)&lt;=0,,($D108-$E108)/($F108-$E108))</f>
        <v/>
      </c>
      <c r="I108" s="47">
        <f>IFERROR(GOOGLEFINANCE($A108,"pe"),)</f>
        <v/>
      </c>
      <c r="J108" s="51">
        <f>IFERROR(GOOGLEFINANCE($A108,"marketcap")/1E9,)</f>
        <v/>
      </c>
      <c r="K108" s="48">
        <f>IF(N($D108)=0,,IF(AND($G108&lt;=-'Control Center'!$B$17,AND(N($I108)&gt;0,$I108&lt;='Control Center'!$B$18)),"VALUE ZONE",IF($G108&lt;=-'Control Center'!$B$19,"WATCH","—")))</f>
        <v/>
      </c>
      <c r="L108" s="20" t="n"/>
    </row>
    <row r="109">
      <c r="A109" s="15" t="inlineStr">
        <is>
          <t>NEM</t>
        </is>
      </c>
      <c r="B109" s="20">
        <f>IFERROR(GOOGLEFINANCE($A109,"name"),)</f>
        <v/>
      </c>
      <c r="C109" s="24" t="inlineStr">
        <is>
          <t>Energy &amp; materials</t>
        </is>
      </c>
      <c r="D109" s="36">
        <f>IFERROR(GOOGLEFINANCE($A109,"price"),)</f>
        <v/>
      </c>
      <c r="E109" s="36">
        <f>IFERROR(GOOGLEFINANCE($A109,"low52"),)</f>
        <v/>
      </c>
      <c r="F109" s="36">
        <f>IFERROR(GOOGLEFINANCE($A109,"high52"),)</f>
        <v/>
      </c>
      <c r="G109" s="17">
        <f>IF(N($F109)=0,,$D109/$F109-1)</f>
        <v/>
      </c>
      <c r="H109" s="18">
        <f>IF(N($F109)-N($E109)&lt;=0,,($D109-$E109)/($F109-$E109))</f>
        <v/>
      </c>
      <c r="I109" s="47">
        <f>IFERROR(GOOGLEFINANCE($A109,"pe"),)</f>
        <v/>
      </c>
      <c r="J109" s="51">
        <f>IFERROR(GOOGLEFINANCE($A109,"marketcap")/1E9,)</f>
        <v/>
      </c>
      <c r="K109" s="48">
        <f>IF(N($D109)=0,,IF(AND($G109&lt;=-'Control Center'!$B$17,AND(N($I109)&gt;0,$I109&lt;='Control Center'!$B$18)),"VALUE ZONE",IF($G109&lt;=-'Control Center'!$B$19,"WATCH","—")))</f>
        <v/>
      </c>
      <c r="L109" s="20" t="n"/>
    </row>
    <row r="110">
      <c r="A110" s="15" t="inlineStr">
        <is>
          <t>NEE</t>
        </is>
      </c>
      <c r="B110" s="20">
        <f>IFERROR(GOOGLEFINANCE($A110,"name"),)</f>
        <v/>
      </c>
      <c r="C110" s="24" t="inlineStr">
        <is>
          <t>Utilities &amp; REITs</t>
        </is>
      </c>
      <c r="D110" s="36">
        <f>IFERROR(GOOGLEFINANCE($A110,"price"),)</f>
        <v/>
      </c>
      <c r="E110" s="36">
        <f>IFERROR(GOOGLEFINANCE($A110,"low52"),)</f>
        <v/>
      </c>
      <c r="F110" s="36">
        <f>IFERROR(GOOGLEFINANCE($A110,"high52"),)</f>
        <v/>
      </c>
      <c r="G110" s="17">
        <f>IF(N($F110)=0,,$D110/$F110-1)</f>
        <v/>
      </c>
      <c r="H110" s="18">
        <f>IF(N($F110)-N($E110)&lt;=0,,($D110-$E110)/($F110-$E110))</f>
        <v/>
      </c>
      <c r="I110" s="47">
        <f>IFERROR(GOOGLEFINANCE($A110,"pe"),)</f>
        <v/>
      </c>
      <c r="J110" s="51">
        <f>IFERROR(GOOGLEFINANCE($A110,"marketcap")/1E9,)</f>
        <v/>
      </c>
      <c r="K110" s="48">
        <f>IF(N($D110)=0,,IF(AND($G110&lt;=-'Control Center'!$B$17,AND(N($I110)&gt;0,$I110&lt;='Control Center'!$B$18)),"VALUE ZONE",IF($G110&lt;=-'Control Center'!$B$19,"WATCH","—")))</f>
        <v/>
      </c>
      <c r="L110" s="20" t="n"/>
    </row>
    <row r="111">
      <c r="A111" s="15" t="inlineStr">
        <is>
          <t>DUK</t>
        </is>
      </c>
      <c r="B111" s="20">
        <f>IFERROR(GOOGLEFINANCE($A111,"name"),)</f>
        <v/>
      </c>
      <c r="C111" s="24" t="inlineStr">
        <is>
          <t>Utilities &amp; REITs</t>
        </is>
      </c>
      <c r="D111" s="36">
        <f>IFERROR(GOOGLEFINANCE($A111,"price"),)</f>
        <v/>
      </c>
      <c r="E111" s="36">
        <f>IFERROR(GOOGLEFINANCE($A111,"low52"),)</f>
        <v/>
      </c>
      <c r="F111" s="36">
        <f>IFERROR(GOOGLEFINANCE($A111,"high52"),)</f>
        <v/>
      </c>
      <c r="G111" s="17">
        <f>IF(N($F111)=0,,$D111/$F111-1)</f>
        <v/>
      </c>
      <c r="H111" s="18">
        <f>IF(N($F111)-N($E111)&lt;=0,,($D111-$E111)/($F111-$E111))</f>
        <v/>
      </c>
      <c r="I111" s="47">
        <f>IFERROR(GOOGLEFINANCE($A111,"pe"),)</f>
        <v/>
      </c>
      <c r="J111" s="51">
        <f>IFERROR(GOOGLEFINANCE($A111,"marketcap")/1E9,)</f>
        <v/>
      </c>
      <c r="K111" s="48">
        <f>IF(N($D111)=0,,IF(AND($G111&lt;=-'Control Center'!$B$17,AND(N($I111)&gt;0,$I111&lt;='Control Center'!$B$18)),"VALUE ZONE",IF($G111&lt;=-'Control Center'!$B$19,"WATCH","—")))</f>
        <v/>
      </c>
      <c r="L111" s="20" t="n"/>
    </row>
    <row r="112">
      <c r="A112" s="15" t="inlineStr">
        <is>
          <t>SO</t>
        </is>
      </c>
      <c r="B112" s="20">
        <f>IFERROR(GOOGLEFINANCE($A112,"name"),)</f>
        <v/>
      </c>
      <c r="C112" s="24" t="inlineStr">
        <is>
          <t>Utilities &amp; REITs</t>
        </is>
      </c>
      <c r="D112" s="36">
        <f>IFERROR(GOOGLEFINANCE($A112,"price"),)</f>
        <v/>
      </c>
      <c r="E112" s="36">
        <f>IFERROR(GOOGLEFINANCE($A112,"low52"),)</f>
        <v/>
      </c>
      <c r="F112" s="36">
        <f>IFERROR(GOOGLEFINANCE($A112,"high52"),)</f>
        <v/>
      </c>
      <c r="G112" s="17">
        <f>IF(N($F112)=0,,$D112/$F112-1)</f>
        <v/>
      </c>
      <c r="H112" s="18">
        <f>IF(N($F112)-N($E112)&lt;=0,,($D112-$E112)/($F112-$E112))</f>
        <v/>
      </c>
      <c r="I112" s="47">
        <f>IFERROR(GOOGLEFINANCE($A112,"pe"),)</f>
        <v/>
      </c>
      <c r="J112" s="51">
        <f>IFERROR(GOOGLEFINANCE($A112,"marketcap")/1E9,)</f>
        <v/>
      </c>
      <c r="K112" s="48">
        <f>IF(N($D112)=0,,IF(AND($G112&lt;=-'Control Center'!$B$17,AND(N($I112)&gt;0,$I112&lt;='Control Center'!$B$18)),"VALUE ZONE",IF($G112&lt;=-'Control Center'!$B$19,"WATCH","—")))</f>
        <v/>
      </c>
      <c r="L112" s="20" t="n"/>
    </row>
    <row r="113">
      <c r="A113" s="15" t="inlineStr">
        <is>
          <t>CEG</t>
        </is>
      </c>
      <c r="B113" s="20">
        <f>IFERROR(GOOGLEFINANCE($A113,"name"),)</f>
        <v/>
      </c>
      <c r="C113" s="24" t="inlineStr">
        <is>
          <t>Utilities &amp; REITs</t>
        </is>
      </c>
      <c r="D113" s="36">
        <f>IFERROR(GOOGLEFINANCE($A113,"price"),)</f>
        <v/>
      </c>
      <c r="E113" s="36">
        <f>IFERROR(GOOGLEFINANCE($A113,"low52"),)</f>
        <v/>
      </c>
      <c r="F113" s="36">
        <f>IFERROR(GOOGLEFINANCE($A113,"high52"),)</f>
        <v/>
      </c>
      <c r="G113" s="17">
        <f>IF(N($F113)=0,,$D113/$F113-1)</f>
        <v/>
      </c>
      <c r="H113" s="18">
        <f>IF(N($F113)-N($E113)&lt;=0,,($D113-$E113)/($F113-$E113))</f>
        <v/>
      </c>
      <c r="I113" s="47">
        <f>IFERROR(GOOGLEFINANCE($A113,"pe"),)</f>
        <v/>
      </c>
      <c r="J113" s="51">
        <f>IFERROR(GOOGLEFINANCE($A113,"marketcap")/1E9,)</f>
        <v/>
      </c>
      <c r="K113" s="48">
        <f>IF(N($D113)=0,,IF(AND($G113&lt;=-'Control Center'!$B$17,AND(N($I113)&gt;0,$I113&lt;='Control Center'!$B$18)),"VALUE ZONE",IF($G113&lt;=-'Control Center'!$B$19,"WATCH","—")))</f>
        <v/>
      </c>
      <c r="L113" s="20" t="n"/>
    </row>
    <row r="114">
      <c r="A114" s="15" t="inlineStr">
        <is>
          <t>VST</t>
        </is>
      </c>
      <c r="B114" s="20">
        <f>IFERROR(GOOGLEFINANCE($A114,"name"),)</f>
        <v/>
      </c>
      <c r="C114" s="24" t="inlineStr">
        <is>
          <t>Utilities &amp; REITs</t>
        </is>
      </c>
      <c r="D114" s="36">
        <f>IFERROR(GOOGLEFINANCE($A114,"price"),)</f>
        <v/>
      </c>
      <c r="E114" s="36">
        <f>IFERROR(GOOGLEFINANCE($A114,"low52"),)</f>
        <v/>
      </c>
      <c r="F114" s="36">
        <f>IFERROR(GOOGLEFINANCE($A114,"high52"),)</f>
        <v/>
      </c>
      <c r="G114" s="17">
        <f>IF(N($F114)=0,,$D114/$F114-1)</f>
        <v/>
      </c>
      <c r="H114" s="18">
        <f>IF(N($F114)-N($E114)&lt;=0,,($D114-$E114)/($F114-$E114))</f>
        <v/>
      </c>
      <c r="I114" s="47">
        <f>IFERROR(GOOGLEFINANCE($A114,"pe"),)</f>
        <v/>
      </c>
      <c r="J114" s="51">
        <f>IFERROR(GOOGLEFINANCE($A114,"marketcap")/1E9,)</f>
        <v/>
      </c>
      <c r="K114" s="48">
        <f>IF(N($D114)=0,,IF(AND($G114&lt;=-'Control Center'!$B$17,AND(N($I114)&gt;0,$I114&lt;='Control Center'!$B$18)),"VALUE ZONE",IF($G114&lt;=-'Control Center'!$B$19,"WATCH","—")))</f>
        <v/>
      </c>
      <c r="L114" s="20" t="n"/>
    </row>
    <row r="115">
      <c r="A115" s="15" t="inlineStr">
        <is>
          <t>PLD</t>
        </is>
      </c>
      <c r="B115" s="20">
        <f>IFERROR(GOOGLEFINANCE($A115,"name"),)</f>
        <v/>
      </c>
      <c r="C115" s="24" t="inlineStr">
        <is>
          <t>Utilities &amp; REITs</t>
        </is>
      </c>
      <c r="D115" s="36">
        <f>IFERROR(GOOGLEFINANCE($A115,"price"),)</f>
        <v/>
      </c>
      <c r="E115" s="36">
        <f>IFERROR(GOOGLEFINANCE($A115,"low52"),)</f>
        <v/>
      </c>
      <c r="F115" s="36">
        <f>IFERROR(GOOGLEFINANCE($A115,"high52"),)</f>
        <v/>
      </c>
      <c r="G115" s="17">
        <f>IF(N($F115)=0,,$D115/$F115-1)</f>
        <v/>
      </c>
      <c r="H115" s="18">
        <f>IF(N($F115)-N($E115)&lt;=0,,($D115-$E115)/($F115-$E115))</f>
        <v/>
      </c>
      <c r="I115" s="47">
        <f>IFERROR(GOOGLEFINANCE($A115,"pe"),)</f>
        <v/>
      </c>
      <c r="J115" s="51">
        <f>IFERROR(GOOGLEFINANCE($A115,"marketcap")/1E9,)</f>
        <v/>
      </c>
      <c r="K115" s="48">
        <f>IF(N($D115)=0,,IF(AND($G115&lt;=-'Control Center'!$B$17,AND(N($I115)&gt;0,$I115&lt;='Control Center'!$B$18)),"VALUE ZONE",IF($G115&lt;=-'Control Center'!$B$19,"WATCH","—")))</f>
        <v/>
      </c>
      <c r="L115" s="20" t="n"/>
    </row>
    <row r="116">
      <c r="A116" s="15" t="inlineStr">
        <is>
          <t>AMT</t>
        </is>
      </c>
      <c r="B116" s="20">
        <f>IFERROR(GOOGLEFINANCE($A116,"name"),)</f>
        <v/>
      </c>
      <c r="C116" s="24" t="inlineStr">
        <is>
          <t>Utilities &amp; REITs</t>
        </is>
      </c>
      <c r="D116" s="36">
        <f>IFERROR(GOOGLEFINANCE($A116,"price"),)</f>
        <v/>
      </c>
      <c r="E116" s="36">
        <f>IFERROR(GOOGLEFINANCE($A116,"low52"),)</f>
        <v/>
      </c>
      <c r="F116" s="36">
        <f>IFERROR(GOOGLEFINANCE($A116,"high52"),)</f>
        <v/>
      </c>
      <c r="G116" s="17">
        <f>IF(N($F116)=0,,$D116/$F116-1)</f>
        <v/>
      </c>
      <c r="H116" s="18">
        <f>IF(N($F116)-N($E116)&lt;=0,,($D116-$E116)/($F116-$E116))</f>
        <v/>
      </c>
      <c r="I116" s="47">
        <f>IFERROR(GOOGLEFINANCE($A116,"pe"),)</f>
        <v/>
      </c>
      <c r="J116" s="51">
        <f>IFERROR(GOOGLEFINANCE($A116,"marketcap")/1E9,)</f>
        <v/>
      </c>
      <c r="K116" s="48">
        <f>IF(N($D116)=0,,IF(AND($G116&lt;=-'Control Center'!$B$17,AND(N($I116)&gt;0,$I116&lt;='Control Center'!$B$18)),"VALUE ZONE",IF($G116&lt;=-'Control Center'!$B$19,"WATCH","—")))</f>
        <v/>
      </c>
      <c r="L116" s="20" t="n"/>
    </row>
    <row r="117">
      <c r="A117" s="15" t="inlineStr">
        <is>
          <t>EQIX</t>
        </is>
      </c>
      <c r="B117" s="20">
        <f>IFERROR(GOOGLEFINANCE($A117,"name"),)</f>
        <v/>
      </c>
      <c r="C117" s="24" t="inlineStr">
        <is>
          <t>Utilities &amp; REITs</t>
        </is>
      </c>
      <c r="D117" s="36">
        <f>IFERROR(GOOGLEFINANCE($A117,"price"),)</f>
        <v/>
      </c>
      <c r="E117" s="36">
        <f>IFERROR(GOOGLEFINANCE($A117,"low52"),)</f>
        <v/>
      </c>
      <c r="F117" s="36">
        <f>IFERROR(GOOGLEFINANCE($A117,"high52"),)</f>
        <v/>
      </c>
      <c r="G117" s="17">
        <f>IF(N($F117)=0,,$D117/$F117-1)</f>
        <v/>
      </c>
      <c r="H117" s="18">
        <f>IF(N($F117)-N($E117)&lt;=0,,($D117-$E117)/($F117-$E117))</f>
        <v/>
      </c>
      <c r="I117" s="47">
        <f>IFERROR(GOOGLEFINANCE($A117,"pe"),)</f>
        <v/>
      </c>
      <c r="J117" s="51">
        <f>IFERROR(GOOGLEFINANCE($A117,"marketcap")/1E9,)</f>
        <v/>
      </c>
      <c r="K117" s="48">
        <f>IF(N($D117)=0,,IF(AND($G117&lt;=-'Control Center'!$B$17,AND(N($I117)&gt;0,$I117&lt;='Control Center'!$B$18)),"VALUE ZONE",IF($G117&lt;=-'Control Center'!$B$19,"WATCH","—")))</f>
        <v/>
      </c>
      <c r="L117" s="20" t="n"/>
    </row>
    <row r="118">
      <c r="A118" s="15" t="inlineStr">
        <is>
          <t>O</t>
        </is>
      </c>
      <c r="B118" s="20">
        <f>IFERROR(GOOGLEFINANCE($A118,"name"),)</f>
        <v/>
      </c>
      <c r="C118" s="24" t="inlineStr">
        <is>
          <t>Utilities &amp; REITs</t>
        </is>
      </c>
      <c r="D118" s="36">
        <f>IFERROR(GOOGLEFINANCE($A118,"price"),)</f>
        <v/>
      </c>
      <c r="E118" s="36">
        <f>IFERROR(GOOGLEFINANCE($A118,"low52"),)</f>
        <v/>
      </c>
      <c r="F118" s="36">
        <f>IFERROR(GOOGLEFINANCE($A118,"high52"),)</f>
        <v/>
      </c>
      <c r="G118" s="17">
        <f>IF(N($F118)=0,,$D118/$F118-1)</f>
        <v/>
      </c>
      <c r="H118" s="18">
        <f>IF(N($F118)-N($E118)&lt;=0,,($D118-$E118)/($F118-$E118))</f>
        <v/>
      </c>
      <c r="I118" s="47">
        <f>IFERROR(GOOGLEFINANCE($A118,"pe"),)</f>
        <v/>
      </c>
      <c r="J118" s="51">
        <f>IFERROR(GOOGLEFINANCE($A118,"marketcap")/1E9,)</f>
        <v/>
      </c>
      <c r="K118" s="48">
        <f>IF(N($D118)=0,,IF(AND($G118&lt;=-'Control Center'!$B$17,AND(N($I118)&gt;0,$I118&lt;='Control Center'!$B$18)),"VALUE ZONE",IF($G118&lt;=-'Control Center'!$B$19,"WATCH","—")))</f>
        <v/>
      </c>
      <c r="L118" s="20" t="n"/>
    </row>
    <row r="119">
      <c r="A119" s="15" t="inlineStr">
        <is>
          <t>V</t>
        </is>
      </c>
      <c r="B119" s="20">
        <f>IFERROR(GOOGLEFINANCE($A119,"name"),)</f>
        <v/>
      </c>
      <c r="C119" s="24" t="inlineStr">
        <is>
          <t>Payments &amp; exchanges</t>
        </is>
      </c>
      <c r="D119" s="36">
        <f>IFERROR(GOOGLEFINANCE($A119,"price"),)</f>
        <v/>
      </c>
      <c r="E119" s="36">
        <f>IFERROR(GOOGLEFINANCE($A119,"low52"),)</f>
        <v/>
      </c>
      <c r="F119" s="36">
        <f>IFERROR(GOOGLEFINANCE($A119,"high52"),)</f>
        <v/>
      </c>
      <c r="G119" s="17">
        <f>IF(N($F119)=0,,$D119/$F119-1)</f>
        <v/>
      </c>
      <c r="H119" s="18">
        <f>IF(N($F119)-N($E119)&lt;=0,,($D119-$E119)/($F119-$E119))</f>
        <v/>
      </c>
      <c r="I119" s="47">
        <f>IFERROR(GOOGLEFINANCE($A119,"pe"),)</f>
        <v/>
      </c>
      <c r="J119" s="51">
        <f>IFERROR(GOOGLEFINANCE($A119,"marketcap")/1E9,)</f>
        <v/>
      </c>
      <c r="K119" s="48">
        <f>IF(N($D119)=0,,IF(AND($G119&lt;=-'Control Center'!$B$17,AND(N($I119)&gt;0,$I119&lt;='Control Center'!$B$18)),"VALUE ZONE",IF($G119&lt;=-'Control Center'!$B$19,"WATCH","—")))</f>
        <v/>
      </c>
      <c r="L119" s="20" t="n"/>
    </row>
    <row r="120">
      <c r="A120" s="15" t="inlineStr">
        <is>
          <t>MA</t>
        </is>
      </c>
      <c r="B120" s="20">
        <f>IFERROR(GOOGLEFINANCE($A120,"name"),)</f>
        <v/>
      </c>
      <c r="C120" s="24" t="inlineStr">
        <is>
          <t>Payments &amp; exchanges</t>
        </is>
      </c>
      <c r="D120" s="36">
        <f>IFERROR(GOOGLEFINANCE($A120,"price"),)</f>
        <v/>
      </c>
      <c r="E120" s="36">
        <f>IFERROR(GOOGLEFINANCE($A120,"low52"),)</f>
        <v/>
      </c>
      <c r="F120" s="36">
        <f>IFERROR(GOOGLEFINANCE($A120,"high52"),)</f>
        <v/>
      </c>
      <c r="G120" s="17">
        <f>IF(N($F120)=0,,$D120/$F120-1)</f>
        <v/>
      </c>
      <c r="H120" s="18">
        <f>IF(N($F120)-N($E120)&lt;=0,,($D120-$E120)/($F120-$E120))</f>
        <v/>
      </c>
      <c r="I120" s="47">
        <f>IFERROR(GOOGLEFINANCE($A120,"pe"),)</f>
        <v/>
      </c>
      <c r="J120" s="51">
        <f>IFERROR(GOOGLEFINANCE($A120,"marketcap")/1E9,)</f>
        <v/>
      </c>
      <c r="K120" s="48">
        <f>IF(N($D120)=0,,IF(AND($G120&lt;=-'Control Center'!$B$17,AND(N($I120)&gt;0,$I120&lt;='Control Center'!$B$18)),"VALUE ZONE",IF($G120&lt;=-'Control Center'!$B$19,"WATCH","—")))</f>
        <v/>
      </c>
      <c r="L120" s="20" t="n"/>
    </row>
    <row r="121">
      <c r="A121" s="15" t="inlineStr">
        <is>
          <t>PYPL</t>
        </is>
      </c>
      <c r="B121" s="20">
        <f>IFERROR(GOOGLEFINANCE($A121,"name"),)</f>
        <v/>
      </c>
      <c r="C121" s="24" t="inlineStr">
        <is>
          <t>Payments &amp; exchanges</t>
        </is>
      </c>
      <c r="D121" s="36">
        <f>IFERROR(GOOGLEFINANCE($A121,"price"),)</f>
        <v/>
      </c>
      <c r="E121" s="36">
        <f>IFERROR(GOOGLEFINANCE($A121,"low52"),)</f>
        <v/>
      </c>
      <c r="F121" s="36">
        <f>IFERROR(GOOGLEFINANCE($A121,"high52"),)</f>
        <v/>
      </c>
      <c r="G121" s="17">
        <f>IF(N($F121)=0,,$D121/$F121-1)</f>
        <v/>
      </c>
      <c r="H121" s="18">
        <f>IF(N($F121)-N($E121)&lt;=0,,($D121-$E121)/($F121-$E121))</f>
        <v/>
      </c>
      <c r="I121" s="47">
        <f>IFERROR(GOOGLEFINANCE($A121,"pe"),)</f>
        <v/>
      </c>
      <c r="J121" s="51">
        <f>IFERROR(GOOGLEFINANCE($A121,"marketcap")/1E9,)</f>
        <v/>
      </c>
      <c r="K121" s="48">
        <f>IF(N($D121)=0,,IF(AND($G121&lt;=-'Control Center'!$B$17,AND(N($I121)&gt;0,$I121&lt;='Control Center'!$B$18)),"VALUE ZONE",IF($G121&lt;=-'Control Center'!$B$19,"WATCH","—")))</f>
        <v/>
      </c>
      <c r="L121" s="20" t="n"/>
    </row>
    <row r="122">
      <c r="A122" s="15" t="inlineStr">
        <is>
          <t>SPGI</t>
        </is>
      </c>
      <c r="B122" s="20">
        <f>IFERROR(GOOGLEFINANCE($A122,"name"),)</f>
        <v/>
      </c>
      <c r="C122" s="24" t="inlineStr">
        <is>
          <t>Payments &amp; exchanges</t>
        </is>
      </c>
      <c r="D122" s="36">
        <f>IFERROR(GOOGLEFINANCE($A122,"price"),)</f>
        <v/>
      </c>
      <c r="E122" s="36">
        <f>IFERROR(GOOGLEFINANCE($A122,"low52"),)</f>
        <v/>
      </c>
      <c r="F122" s="36">
        <f>IFERROR(GOOGLEFINANCE($A122,"high52"),)</f>
        <v/>
      </c>
      <c r="G122" s="17">
        <f>IF(N($F122)=0,,$D122/$F122-1)</f>
        <v/>
      </c>
      <c r="H122" s="18">
        <f>IF(N($F122)-N($E122)&lt;=0,,($D122-$E122)/($F122-$E122))</f>
        <v/>
      </c>
      <c r="I122" s="47">
        <f>IFERROR(GOOGLEFINANCE($A122,"pe"),)</f>
        <v/>
      </c>
      <c r="J122" s="51">
        <f>IFERROR(GOOGLEFINANCE($A122,"marketcap")/1E9,)</f>
        <v/>
      </c>
      <c r="K122" s="48">
        <f>IF(N($D122)=0,,IF(AND($G122&lt;=-'Control Center'!$B$17,AND(N($I122)&gt;0,$I122&lt;='Control Center'!$B$18)),"VALUE ZONE",IF($G122&lt;=-'Control Center'!$B$19,"WATCH","—")))</f>
        <v/>
      </c>
      <c r="L122" s="20" t="n"/>
    </row>
    <row r="123">
      <c r="A123" s="15" t="inlineStr">
        <is>
          <t>MCO</t>
        </is>
      </c>
      <c r="B123" s="20">
        <f>IFERROR(GOOGLEFINANCE($A123,"name"),)</f>
        <v/>
      </c>
      <c r="C123" s="24" t="inlineStr">
        <is>
          <t>Payments &amp; exchanges</t>
        </is>
      </c>
      <c r="D123" s="36">
        <f>IFERROR(GOOGLEFINANCE($A123,"price"),)</f>
        <v/>
      </c>
      <c r="E123" s="36">
        <f>IFERROR(GOOGLEFINANCE($A123,"low52"),)</f>
        <v/>
      </c>
      <c r="F123" s="36">
        <f>IFERROR(GOOGLEFINANCE($A123,"high52"),)</f>
        <v/>
      </c>
      <c r="G123" s="17">
        <f>IF(N($F123)=0,,$D123/$F123-1)</f>
        <v/>
      </c>
      <c r="H123" s="18">
        <f>IF(N($F123)-N($E123)&lt;=0,,($D123-$E123)/($F123-$E123))</f>
        <v/>
      </c>
      <c r="I123" s="47">
        <f>IFERROR(GOOGLEFINANCE($A123,"pe"),)</f>
        <v/>
      </c>
      <c r="J123" s="51">
        <f>IFERROR(GOOGLEFINANCE($A123,"marketcap")/1E9,)</f>
        <v/>
      </c>
      <c r="K123" s="48">
        <f>IF(N($D123)=0,,IF(AND($G123&lt;=-'Control Center'!$B$17,AND(N($I123)&gt;0,$I123&lt;='Control Center'!$B$18)),"VALUE ZONE",IF($G123&lt;=-'Control Center'!$B$19,"WATCH","—")))</f>
        <v/>
      </c>
      <c r="L123" s="20" t="n"/>
    </row>
    <row r="124">
      <c r="A124" s="15" t="inlineStr">
        <is>
          <t>ICE</t>
        </is>
      </c>
      <c r="B124" s="20">
        <f>IFERROR(GOOGLEFINANCE($A124,"name"),)</f>
        <v/>
      </c>
      <c r="C124" s="24" t="inlineStr">
        <is>
          <t>Payments &amp; exchanges</t>
        </is>
      </c>
      <c r="D124" s="36">
        <f>IFERROR(GOOGLEFINANCE($A124,"price"),)</f>
        <v/>
      </c>
      <c r="E124" s="36">
        <f>IFERROR(GOOGLEFINANCE($A124,"low52"),)</f>
        <v/>
      </c>
      <c r="F124" s="36">
        <f>IFERROR(GOOGLEFINANCE($A124,"high52"),)</f>
        <v/>
      </c>
      <c r="G124" s="17">
        <f>IF(N($F124)=0,,$D124/$F124-1)</f>
        <v/>
      </c>
      <c r="H124" s="18">
        <f>IF(N($F124)-N($E124)&lt;=0,,($D124-$E124)/($F124-$E124))</f>
        <v/>
      </c>
      <c r="I124" s="47">
        <f>IFERROR(GOOGLEFINANCE($A124,"pe"),)</f>
        <v/>
      </c>
      <c r="J124" s="51">
        <f>IFERROR(GOOGLEFINANCE($A124,"marketcap")/1E9,)</f>
        <v/>
      </c>
      <c r="K124" s="48">
        <f>IF(N($D124)=0,,IF(AND($G124&lt;=-'Control Center'!$B$17,AND(N($I124)&gt;0,$I124&lt;='Control Center'!$B$18)),"VALUE ZONE",IF($G124&lt;=-'Control Center'!$B$19,"WATCH","—")))</f>
        <v/>
      </c>
      <c r="L124" s="20" t="n"/>
    </row>
    <row r="125">
      <c r="A125" s="15" t="inlineStr">
        <is>
          <t>CME</t>
        </is>
      </c>
      <c r="B125" s="20">
        <f>IFERROR(GOOGLEFINANCE($A125,"name"),)</f>
        <v/>
      </c>
      <c r="C125" s="24" t="inlineStr">
        <is>
          <t>Payments &amp; exchanges</t>
        </is>
      </c>
      <c r="D125" s="36">
        <f>IFERROR(GOOGLEFINANCE($A125,"price"),)</f>
        <v/>
      </c>
      <c r="E125" s="36">
        <f>IFERROR(GOOGLEFINANCE($A125,"low52"),)</f>
        <v/>
      </c>
      <c r="F125" s="36">
        <f>IFERROR(GOOGLEFINANCE($A125,"high52"),)</f>
        <v/>
      </c>
      <c r="G125" s="17">
        <f>IF(N($F125)=0,,$D125/$F125-1)</f>
        <v/>
      </c>
      <c r="H125" s="18">
        <f>IF(N($F125)-N($E125)&lt;=0,,($D125-$E125)/($F125-$E125))</f>
        <v/>
      </c>
      <c r="I125" s="47">
        <f>IFERROR(GOOGLEFINANCE($A125,"pe"),)</f>
        <v/>
      </c>
      <c r="J125" s="51">
        <f>IFERROR(GOOGLEFINANCE($A125,"marketcap")/1E9,)</f>
        <v/>
      </c>
      <c r="K125" s="48">
        <f>IF(N($D125)=0,,IF(AND($G125&lt;=-'Control Center'!$B$17,AND(N($I125)&gt;0,$I125&lt;='Control Center'!$B$18)),"VALUE ZONE",IF($G125&lt;=-'Control Center'!$B$19,"WATCH","—")))</f>
        <v/>
      </c>
      <c r="L125" s="20" t="n"/>
    </row>
    <row r="126">
      <c r="A126" s="15" t="inlineStr">
        <is>
          <t>SPY</t>
        </is>
      </c>
      <c r="B126" s="20">
        <f>IFERROR(GOOGLEFINANCE($A126,"name"),)</f>
        <v/>
      </c>
      <c r="C126" s="24" t="inlineStr">
        <is>
          <t>ETFs</t>
        </is>
      </c>
      <c r="D126" s="36">
        <f>IFERROR(GOOGLEFINANCE($A126,"price"),)</f>
        <v/>
      </c>
      <c r="E126" s="36">
        <f>IFERROR(GOOGLEFINANCE($A126,"low52"),)</f>
        <v/>
      </c>
      <c r="F126" s="36">
        <f>IFERROR(GOOGLEFINANCE($A126,"high52"),)</f>
        <v/>
      </c>
      <c r="G126" s="17">
        <f>IF(N($F126)=0,,$D126/$F126-1)</f>
        <v/>
      </c>
      <c r="H126" s="18">
        <f>IF(N($F126)-N($E126)&lt;=0,,($D126-$E126)/($F126-$E126))</f>
        <v/>
      </c>
      <c r="I126" s="47">
        <f>IFERROR(GOOGLEFINANCE($A126,"pe"),)</f>
        <v/>
      </c>
      <c r="J126" s="51">
        <f>IFERROR(GOOGLEFINANCE($A126,"marketcap")/1E9,)</f>
        <v/>
      </c>
      <c r="K126" s="48">
        <f>IF(N($D126)=0,,IF(AND($G126&lt;=-'Control Center'!$B$17,TRUE),"VALUE ZONE",IF($G126&lt;=-'Control Center'!$B$19,"WATCH","—")))</f>
        <v/>
      </c>
      <c r="L126" s="20" t="n"/>
    </row>
    <row r="127">
      <c r="A127" s="15" t="inlineStr">
        <is>
          <t>QQQ</t>
        </is>
      </c>
      <c r="B127" s="20">
        <f>IFERROR(GOOGLEFINANCE($A127,"name"),)</f>
        <v/>
      </c>
      <c r="C127" s="24" t="inlineStr">
        <is>
          <t>ETFs</t>
        </is>
      </c>
      <c r="D127" s="36">
        <f>IFERROR(GOOGLEFINANCE($A127,"price"),)</f>
        <v/>
      </c>
      <c r="E127" s="36">
        <f>IFERROR(GOOGLEFINANCE($A127,"low52"),)</f>
        <v/>
      </c>
      <c r="F127" s="36">
        <f>IFERROR(GOOGLEFINANCE($A127,"high52"),)</f>
        <v/>
      </c>
      <c r="G127" s="17">
        <f>IF(N($F127)=0,,$D127/$F127-1)</f>
        <v/>
      </c>
      <c r="H127" s="18">
        <f>IF(N($F127)-N($E127)&lt;=0,,($D127-$E127)/($F127-$E127))</f>
        <v/>
      </c>
      <c r="I127" s="47">
        <f>IFERROR(GOOGLEFINANCE($A127,"pe"),)</f>
        <v/>
      </c>
      <c r="J127" s="51">
        <f>IFERROR(GOOGLEFINANCE($A127,"marketcap")/1E9,)</f>
        <v/>
      </c>
      <c r="K127" s="48">
        <f>IF(N($D127)=0,,IF(AND($G127&lt;=-'Control Center'!$B$17,TRUE),"VALUE ZONE",IF($G127&lt;=-'Control Center'!$B$19,"WATCH","—")))</f>
        <v/>
      </c>
      <c r="L127" s="20" t="n"/>
    </row>
    <row r="128">
      <c r="A128" s="15" t="inlineStr">
        <is>
          <t>VTI</t>
        </is>
      </c>
      <c r="B128" s="20">
        <f>IFERROR(GOOGLEFINANCE($A128,"name"),)</f>
        <v/>
      </c>
      <c r="C128" s="24" t="inlineStr">
        <is>
          <t>ETFs</t>
        </is>
      </c>
      <c r="D128" s="36">
        <f>IFERROR(GOOGLEFINANCE($A128,"price"),)</f>
        <v/>
      </c>
      <c r="E128" s="36">
        <f>IFERROR(GOOGLEFINANCE($A128,"low52"),)</f>
        <v/>
      </c>
      <c r="F128" s="36">
        <f>IFERROR(GOOGLEFINANCE($A128,"high52"),)</f>
        <v/>
      </c>
      <c r="G128" s="17">
        <f>IF(N($F128)=0,,$D128/$F128-1)</f>
        <v/>
      </c>
      <c r="H128" s="18">
        <f>IF(N($F128)-N($E128)&lt;=0,,($D128-$E128)/($F128-$E128))</f>
        <v/>
      </c>
      <c r="I128" s="47">
        <f>IFERROR(GOOGLEFINANCE($A128,"pe"),)</f>
        <v/>
      </c>
      <c r="J128" s="51">
        <f>IFERROR(GOOGLEFINANCE($A128,"marketcap")/1E9,)</f>
        <v/>
      </c>
      <c r="K128" s="48">
        <f>IF(N($D128)=0,,IF(AND($G128&lt;=-'Control Center'!$B$17,TRUE),"VALUE ZONE",IF($G128&lt;=-'Control Center'!$B$19,"WATCH","—")))</f>
        <v/>
      </c>
      <c r="L128" s="20" t="n"/>
    </row>
    <row r="129">
      <c r="A129" s="15" t="inlineStr">
        <is>
          <t>VXUS</t>
        </is>
      </c>
      <c r="B129" s="20">
        <f>IFERROR(GOOGLEFINANCE($A129,"name"),)</f>
        <v/>
      </c>
      <c r="C129" s="24" t="inlineStr">
        <is>
          <t>ETFs</t>
        </is>
      </c>
      <c r="D129" s="36">
        <f>IFERROR(GOOGLEFINANCE($A129,"price"),)</f>
        <v/>
      </c>
      <c r="E129" s="36">
        <f>IFERROR(GOOGLEFINANCE($A129,"low52"),)</f>
        <v/>
      </c>
      <c r="F129" s="36">
        <f>IFERROR(GOOGLEFINANCE($A129,"high52"),)</f>
        <v/>
      </c>
      <c r="G129" s="17">
        <f>IF(N($F129)=0,,$D129/$F129-1)</f>
        <v/>
      </c>
      <c r="H129" s="18">
        <f>IF(N($F129)-N($E129)&lt;=0,,($D129-$E129)/($F129-$E129))</f>
        <v/>
      </c>
      <c r="I129" s="47">
        <f>IFERROR(GOOGLEFINANCE($A129,"pe"),)</f>
        <v/>
      </c>
      <c r="J129" s="51">
        <f>IFERROR(GOOGLEFINANCE($A129,"marketcap")/1E9,)</f>
        <v/>
      </c>
      <c r="K129" s="48">
        <f>IF(N($D129)=0,,IF(AND($G129&lt;=-'Control Center'!$B$17,TRUE),"VALUE ZONE",IF($G129&lt;=-'Control Center'!$B$19,"WATCH","—")))</f>
        <v/>
      </c>
      <c r="L129" s="20" t="n"/>
    </row>
    <row r="130">
      <c r="A130" s="15" t="inlineStr">
        <is>
          <t>SMH</t>
        </is>
      </c>
      <c r="B130" s="20">
        <f>IFERROR(GOOGLEFINANCE($A130,"name"),)</f>
        <v/>
      </c>
      <c r="C130" s="24" t="inlineStr">
        <is>
          <t>ETFs</t>
        </is>
      </c>
      <c r="D130" s="36">
        <f>IFERROR(GOOGLEFINANCE($A130,"price"),)</f>
        <v/>
      </c>
      <c r="E130" s="36">
        <f>IFERROR(GOOGLEFINANCE($A130,"low52"),)</f>
        <v/>
      </c>
      <c r="F130" s="36">
        <f>IFERROR(GOOGLEFINANCE($A130,"high52"),)</f>
        <v/>
      </c>
      <c r="G130" s="17">
        <f>IF(N($F130)=0,,$D130/$F130-1)</f>
        <v/>
      </c>
      <c r="H130" s="18">
        <f>IF(N($F130)-N($E130)&lt;=0,,($D130-$E130)/($F130-$E130))</f>
        <v/>
      </c>
      <c r="I130" s="47">
        <f>IFERROR(GOOGLEFINANCE($A130,"pe"),)</f>
        <v/>
      </c>
      <c r="J130" s="51">
        <f>IFERROR(GOOGLEFINANCE($A130,"marketcap")/1E9,)</f>
        <v/>
      </c>
      <c r="K130" s="48">
        <f>IF(N($D130)=0,,IF(AND($G130&lt;=-'Control Center'!$B$17,TRUE),"VALUE ZONE",IF($G130&lt;=-'Control Center'!$B$19,"WATCH","—")))</f>
        <v/>
      </c>
      <c r="L130" s="20" t="n"/>
    </row>
    <row r="131">
      <c r="A131" s="15" t="inlineStr">
        <is>
          <t>XLV</t>
        </is>
      </c>
      <c r="B131" s="20">
        <f>IFERROR(GOOGLEFINANCE($A131,"name"),)</f>
        <v/>
      </c>
      <c r="C131" s="24" t="inlineStr">
        <is>
          <t>ETFs</t>
        </is>
      </c>
      <c r="D131" s="36">
        <f>IFERROR(GOOGLEFINANCE($A131,"price"),)</f>
        <v/>
      </c>
      <c r="E131" s="36">
        <f>IFERROR(GOOGLEFINANCE($A131,"low52"),)</f>
        <v/>
      </c>
      <c r="F131" s="36">
        <f>IFERROR(GOOGLEFINANCE($A131,"high52"),)</f>
        <v/>
      </c>
      <c r="G131" s="17">
        <f>IF(N($F131)=0,,$D131/$F131-1)</f>
        <v/>
      </c>
      <c r="H131" s="18">
        <f>IF(N($F131)-N($E131)&lt;=0,,($D131-$E131)/($F131-$E131))</f>
        <v/>
      </c>
      <c r="I131" s="47">
        <f>IFERROR(GOOGLEFINANCE($A131,"pe"),)</f>
        <v/>
      </c>
      <c r="J131" s="51">
        <f>IFERROR(GOOGLEFINANCE($A131,"marketcap")/1E9,)</f>
        <v/>
      </c>
      <c r="K131" s="48">
        <f>IF(N($D131)=0,,IF(AND($G131&lt;=-'Control Center'!$B$17,TRUE),"VALUE ZONE",IF($G131&lt;=-'Control Center'!$B$19,"WATCH","—")))</f>
        <v/>
      </c>
      <c r="L131" s="20" t="n"/>
    </row>
    <row r="132">
      <c r="A132" s="15" t="inlineStr">
        <is>
          <t>XLE</t>
        </is>
      </c>
      <c r="B132" s="20">
        <f>IFERROR(GOOGLEFINANCE($A132,"name"),)</f>
        <v/>
      </c>
      <c r="C132" s="24" t="inlineStr">
        <is>
          <t>ETFs</t>
        </is>
      </c>
      <c r="D132" s="36">
        <f>IFERROR(GOOGLEFINANCE($A132,"price"),)</f>
        <v/>
      </c>
      <c r="E132" s="36">
        <f>IFERROR(GOOGLEFINANCE($A132,"low52"),)</f>
        <v/>
      </c>
      <c r="F132" s="36">
        <f>IFERROR(GOOGLEFINANCE($A132,"high52"),)</f>
        <v/>
      </c>
      <c r="G132" s="17">
        <f>IF(N($F132)=0,,$D132/$F132-1)</f>
        <v/>
      </c>
      <c r="H132" s="18">
        <f>IF(N($F132)-N($E132)&lt;=0,,($D132-$E132)/($F132-$E132))</f>
        <v/>
      </c>
      <c r="I132" s="47">
        <f>IFERROR(GOOGLEFINANCE($A132,"pe"),)</f>
        <v/>
      </c>
      <c r="J132" s="51">
        <f>IFERROR(GOOGLEFINANCE($A132,"marketcap")/1E9,)</f>
        <v/>
      </c>
      <c r="K132" s="48">
        <f>IF(N($D132)=0,,IF(AND($G132&lt;=-'Control Center'!$B$17,TRUE),"VALUE ZONE",IF($G132&lt;=-'Control Center'!$B$19,"WATCH","—")))</f>
        <v/>
      </c>
      <c r="L132" s="20" t="n"/>
    </row>
    <row r="133">
      <c r="A133" s="15" t="inlineStr">
        <is>
          <t>XLU</t>
        </is>
      </c>
      <c r="B133" s="20">
        <f>IFERROR(GOOGLEFINANCE($A133,"name"),)</f>
        <v/>
      </c>
      <c r="C133" s="24" t="inlineStr">
        <is>
          <t>ETFs</t>
        </is>
      </c>
      <c r="D133" s="36">
        <f>IFERROR(GOOGLEFINANCE($A133,"price"),)</f>
        <v/>
      </c>
      <c r="E133" s="36">
        <f>IFERROR(GOOGLEFINANCE($A133,"low52"),)</f>
        <v/>
      </c>
      <c r="F133" s="36">
        <f>IFERROR(GOOGLEFINANCE($A133,"high52"),)</f>
        <v/>
      </c>
      <c r="G133" s="17">
        <f>IF(N($F133)=0,,$D133/$F133-1)</f>
        <v/>
      </c>
      <c r="H133" s="18">
        <f>IF(N($F133)-N($E133)&lt;=0,,($D133-$E133)/($F133-$E133))</f>
        <v/>
      </c>
      <c r="I133" s="47">
        <f>IFERROR(GOOGLEFINANCE($A133,"pe"),)</f>
        <v/>
      </c>
      <c r="J133" s="51">
        <f>IFERROR(GOOGLEFINANCE($A133,"marketcap")/1E9,)</f>
        <v/>
      </c>
      <c r="K133" s="48">
        <f>IF(N($D133)=0,,IF(AND($G133&lt;=-'Control Center'!$B$17,TRUE),"VALUE ZONE",IF($G133&lt;=-'Control Center'!$B$19,"WATCH","—")))</f>
        <v/>
      </c>
      <c r="L133" s="20" t="n"/>
    </row>
    <row r="134">
      <c r="A134" s="15" t="inlineStr">
        <is>
          <t>IJR</t>
        </is>
      </c>
      <c r="B134" s="20">
        <f>IFERROR(GOOGLEFINANCE($A134,"name"),)</f>
        <v/>
      </c>
      <c r="C134" s="24" t="inlineStr">
        <is>
          <t>ETFs</t>
        </is>
      </c>
      <c r="D134" s="36">
        <f>IFERROR(GOOGLEFINANCE($A134,"price"),)</f>
        <v/>
      </c>
      <c r="E134" s="36">
        <f>IFERROR(GOOGLEFINANCE($A134,"low52"),)</f>
        <v/>
      </c>
      <c r="F134" s="36">
        <f>IFERROR(GOOGLEFINANCE($A134,"high52"),)</f>
        <v/>
      </c>
      <c r="G134" s="17">
        <f>IF(N($F134)=0,,$D134/$F134-1)</f>
        <v/>
      </c>
      <c r="H134" s="18">
        <f>IF(N($F134)-N($E134)&lt;=0,,($D134-$E134)/($F134-$E134))</f>
        <v/>
      </c>
      <c r="I134" s="47">
        <f>IFERROR(GOOGLEFINANCE($A134,"pe"),)</f>
        <v/>
      </c>
      <c r="J134" s="51">
        <f>IFERROR(GOOGLEFINANCE($A134,"marketcap")/1E9,)</f>
        <v/>
      </c>
      <c r="K134" s="48">
        <f>IF(N($D134)=0,,IF(AND($G134&lt;=-'Control Center'!$B$17,TRUE),"VALUE ZONE",IF($G134&lt;=-'Control Center'!$B$19,"WATCH","—")))</f>
        <v/>
      </c>
      <c r="L134" s="20" t="n"/>
    </row>
    <row r="135">
      <c r="A135" s="15" t="inlineStr">
        <is>
          <t>GLDM</t>
        </is>
      </c>
      <c r="B135" s="20">
        <f>IFERROR(GOOGLEFINANCE($A135,"name"),)</f>
        <v/>
      </c>
      <c r="C135" s="24" t="inlineStr">
        <is>
          <t>ETFs</t>
        </is>
      </c>
      <c r="D135" s="36">
        <f>IFERROR(GOOGLEFINANCE($A135,"price"),)</f>
        <v/>
      </c>
      <c r="E135" s="36">
        <f>IFERROR(GOOGLEFINANCE($A135,"low52"),)</f>
        <v/>
      </c>
      <c r="F135" s="36">
        <f>IFERROR(GOOGLEFINANCE($A135,"high52"),)</f>
        <v/>
      </c>
      <c r="G135" s="17">
        <f>IF(N($F135)=0,,$D135/$F135-1)</f>
        <v/>
      </c>
      <c r="H135" s="18">
        <f>IF(N($F135)-N($E135)&lt;=0,,($D135-$E135)/($F135-$E135))</f>
        <v/>
      </c>
      <c r="I135" s="47">
        <f>IFERROR(GOOGLEFINANCE($A135,"pe"),)</f>
        <v/>
      </c>
      <c r="J135" s="51">
        <f>IFERROR(GOOGLEFINANCE($A135,"marketcap")/1E9,)</f>
        <v/>
      </c>
      <c r="K135" s="48">
        <f>IF(N($D135)=0,,IF(AND($G135&lt;=-'Control Center'!$B$17,TRUE),"VALUE ZONE",IF($G135&lt;=-'Control Center'!$B$19,"WATCH","—")))</f>
        <v/>
      </c>
      <c r="L135" s="20" t="n"/>
    </row>
    <row r="136">
      <c r="A136" s="15" t="inlineStr">
        <is>
          <t>SGOV</t>
        </is>
      </c>
      <c r="B136" s="20">
        <f>IFERROR(GOOGLEFINANCE($A136,"name"),)</f>
        <v/>
      </c>
      <c r="C136" s="24" t="inlineStr">
        <is>
          <t>ETFs</t>
        </is>
      </c>
      <c r="D136" s="36">
        <f>IFERROR(GOOGLEFINANCE($A136,"price"),)</f>
        <v/>
      </c>
      <c r="E136" s="36">
        <f>IFERROR(GOOGLEFINANCE($A136,"low52"),)</f>
        <v/>
      </c>
      <c r="F136" s="36">
        <f>IFERROR(GOOGLEFINANCE($A136,"high52"),)</f>
        <v/>
      </c>
      <c r="G136" s="17">
        <f>IF(N($F136)=0,,$D136/$F136-1)</f>
        <v/>
      </c>
      <c r="H136" s="18">
        <f>IF(N($F136)-N($E136)&lt;=0,,($D136-$E136)/($F136-$E136))</f>
        <v/>
      </c>
      <c r="I136" s="47">
        <f>IFERROR(GOOGLEFINANCE($A136,"pe"),)</f>
        <v/>
      </c>
      <c r="J136" s="51">
        <f>IFERROR(GOOGLEFINANCE($A136,"marketcap")/1E9,)</f>
        <v/>
      </c>
      <c r="K136" s="48">
        <f>IF(N($D136)=0,,IF(AND($G136&lt;=-'Control Center'!$B$17,TRUE),"VALUE ZONE",IF($G136&lt;=-'Control Center'!$B$19,"WATCH","—")))</f>
        <v/>
      </c>
      <c r="L136" s="20" t="n"/>
    </row>
    <row r="137">
      <c r="A137" s="15" t="inlineStr">
        <is>
          <t>SCHD</t>
        </is>
      </c>
      <c r="B137" s="20">
        <f>IFERROR(GOOGLEFINANCE($A137,"name"),)</f>
        <v/>
      </c>
      <c r="C137" s="24" t="inlineStr">
        <is>
          <t>ETFs</t>
        </is>
      </c>
      <c r="D137" s="36">
        <f>IFERROR(GOOGLEFINANCE($A137,"price"),)</f>
        <v/>
      </c>
      <c r="E137" s="36">
        <f>IFERROR(GOOGLEFINANCE($A137,"low52"),)</f>
        <v/>
      </c>
      <c r="F137" s="36">
        <f>IFERROR(GOOGLEFINANCE($A137,"high52"),)</f>
        <v/>
      </c>
      <c r="G137" s="17">
        <f>IF(N($F137)=0,,$D137/$F137-1)</f>
        <v/>
      </c>
      <c r="H137" s="18">
        <f>IF(N($F137)-N($E137)&lt;=0,,($D137-$E137)/($F137-$E137))</f>
        <v/>
      </c>
      <c r="I137" s="47">
        <f>IFERROR(GOOGLEFINANCE($A137,"pe"),)</f>
        <v/>
      </c>
      <c r="J137" s="51">
        <f>IFERROR(GOOGLEFINANCE($A137,"marketcap")/1E9,)</f>
        <v/>
      </c>
      <c r="K137" s="48">
        <f>IF(N($D137)=0,,IF(AND($G137&lt;=-'Control Center'!$B$17,TRUE),"VALUE ZONE",IF($G137&lt;=-'Control Center'!$B$19,"WATCH","—")))</f>
        <v/>
      </c>
      <c r="L137" s="20" t="n"/>
    </row>
    <row r="138">
      <c r="A138" s="15" t="inlineStr">
        <is>
          <t>AVUV</t>
        </is>
      </c>
      <c r="B138" s="20">
        <f>IFERROR(GOOGLEFINANCE($A138,"name"),)</f>
        <v/>
      </c>
      <c r="C138" s="24" t="inlineStr">
        <is>
          <t>ETFs</t>
        </is>
      </c>
      <c r="D138" s="36">
        <f>IFERROR(GOOGLEFINANCE($A138,"price"),)</f>
        <v/>
      </c>
      <c r="E138" s="36">
        <f>IFERROR(GOOGLEFINANCE($A138,"low52"),)</f>
        <v/>
      </c>
      <c r="F138" s="36">
        <f>IFERROR(GOOGLEFINANCE($A138,"high52"),)</f>
        <v/>
      </c>
      <c r="G138" s="17">
        <f>IF(N($F138)=0,,$D138/$F138-1)</f>
        <v/>
      </c>
      <c r="H138" s="18">
        <f>IF(N($F138)-N($E138)&lt;=0,,($D138-$E138)/($F138-$E138))</f>
        <v/>
      </c>
      <c r="I138" s="47">
        <f>IFERROR(GOOGLEFINANCE($A138,"pe"),)</f>
        <v/>
      </c>
      <c r="J138" s="51">
        <f>IFERROR(GOOGLEFINANCE($A138,"marketcap")/1E9,)</f>
        <v/>
      </c>
      <c r="K138" s="48">
        <f>IF(N($D138)=0,,IF(AND($G138&lt;=-'Control Center'!$B$17,TRUE),"VALUE ZONE",IF($G138&lt;=-'Control Center'!$B$19,"WATCH","—")))</f>
        <v/>
      </c>
      <c r="L138" s="20" t="n"/>
    </row>
    <row r="139">
      <c r="A139" s="15" t="inlineStr">
        <is>
          <t>VWO</t>
        </is>
      </c>
      <c r="B139" s="20">
        <f>IFERROR(GOOGLEFINANCE($A139,"name"),)</f>
        <v/>
      </c>
      <c r="C139" s="24" t="inlineStr">
        <is>
          <t>ETFs</t>
        </is>
      </c>
      <c r="D139" s="36">
        <f>IFERROR(GOOGLEFINANCE($A139,"price"),)</f>
        <v/>
      </c>
      <c r="E139" s="36">
        <f>IFERROR(GOOGLEFINANCE($A139,"low52"),)</f>
        <v/>
      </c>
      <c r="F139" s="36">
        <f>IFERROR(GOOGLEFINANCE($A139,"high52"),)</f>
        <v/>
      </c>
      <c r="G139" s="17">
        <f>IF(N($F139)=0,,$D139/$F139-1)</f>
        <v/>
      </c>
      <c r="H139" s="18">
        <f>IF(N($F139)-N($E139)&lt;=0,,($D139-$E139)/($F139-$E139))</f>
        <v/>
      </c>
      <c r="I139" s="47">
        <f>IFERROR(GOOGLEFINANCE($A139,"pe"),)</f>
        <v/>
      </c>
      <c r="J139" s="51">
        <f>IFERROR(GOOGLEFINANCE($A139,"marketcap")/1E9,)</f>
        <v/>
      </c>
      <c r="K139" s="48">
        <f>IF(N($D139)=0,,IF(AND($G139&lt;=-'Control Center'!$B$17,TRUE),"VALUE ZONE",IF($G139&lt;=-'Control Center'!$B$19,"WATCH","—")))</f>
        <v/>
      </c>
      <c r="L139" s="20" t="n"/>
    </row>
    <row r="140">
      <c r="A140" s="15" t="inlineStr">
        <is>
          <t>INDA</t>
        </is>
      </c>
      <c r="B140" s="20">
        <f>IFERROR(GOOGLEFINANCE($A140,"name"),)</f>
        <v/>
      </c>
      <c r="C140" s="24" t="inlineStr">
        <is>
          <t>ETFs</t>
        </is>
      </c>
      <c r="D140" s="36">
        <f>IFERROR(GOOGLEFINANCE($A140,"price"),)</f>
        <v/>
      </c>
      <c r="E140" s="36">
        <f>IFERROR(GOOGLEFINANCE($A140,"low52"),)</f>
        <v/>
      </c>
      <c r="F140" s="36">
        <f>IFERROR(GOOGLEFINANCE($A140,"high52"),)</f>
        <v/>
      </c>
      <c r="G140" s="17">
        <f>IF(N($F140)=0,,$D140/$F140-1)</f>
        <v/>
      </c>
      <c r="H140" s="18">
        <f>IF(N($F140)-N($E140)&lt;=0,,($D140-$E140)/($F140-$E140))</f>
        <v/>
      </c>
      <c r="I140" s="47">
        <f>IFERROR(GOOGLEFINANCE($A140,"pe"),)</f>
        <v/>
      </c>
      <c r="J140" s="51">
        <f>IFERROR(GOOGLEFINANCE($A140,"marketcap")/1E9,)</f>
        <v/>
      </c>
      <c r="K140" s="48">
        <f>IF(N($D140)=0,,IF(AND($G140&lt;=-'Control Center'!$B$17,TRUE),"VALUE ZONE",IF($G140&lt;=-'Control Center'!$B$19,"WATCH","—")))</f>
        <v/>
      </c>
      <c r="L140" s="20" t="n"/>
    </row>
    <row r="141">
      <c r="A141" s="15" t="inlineStr">
        <is>
          <t>EWJ</t>
        </is>
      </c>
      <c r="B141" s="20">
        <f>IFERROR(GOOGLEFINANCE($A141,"name"),)</f>
        <v/>
      </c>
      <c r="C141" s="24" t="inlineStr">
        <is>
          <t>ETFs</t>
        </is>
      </c>
      <c r="D141" s="36">
        <f>IFERROR(GOOGLEFINANCE($A141,"price"),)</f>
        <v/>
      </c>
      <c r="E141" s="36">
        <f>IFERROR(GOOGLEFINANCE($A141,"low52"),)</f>
        <v/>
      </c>
      <c r="F141" s="36">
        <f>IFERROR(GOOGLEFINANCE($A141,"high52"),)</f>
        <v/>
      </c>
      <c r="G141" s="17">
        <f>IF(N($F141)=0,,$D141/$F141-1)</f>
        <v/>
      </c>
      <c r="H141" s="18">
        <f>IF(N($F141)-N($E141)&lt;=0,,($D141-$E141)/($F141-$E141))</f>
        <v/>
      </c>
      <c r="I141" s="47">
        <f>IFERROR(GOOGLEFINANCE($A141,"pe"),)</f>
        <v/>
      </c>
      <c r="J141" s="51">
        <f>IFERROR(GOOGLEFINANCE($A141,"marketcap")/1E9,)</f>
        <v/>
      </c>
      <c r="K141" s="48">
        <f>IF(N($D141)=0,,IF(AND($G141&lt;=-'Control Center'!$B$17,TRUE),"VALUE ZONE",IF($G141&lt;=-'Control Center'!$B$19,"WATCH","—")))</f>
        <v/>
      </c>
      <c r="L141" s="20" t="n"/>
    </row>
  </sheetData>
  <autoFilter ref="A4:L141"/>
  <conditionalFormatting sqref="K5:K141">
    <cfRule type="expression" priority="1" dxfId="2">
      <formula>K5="VALUE ZONE"</formula>
    </cfRule>
    <cfRule type="expression" priority="2" dxfId="3">
      <formula>K5="WATCH"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46" customWidth="1" min="4" max="4"/>
    <col width="34" customWidth="1" min="5" max="5"/>
    <col width="34" customWidth="1" min="6" max="6"/>
    <col width="34" customWidth="1" min="7" max="7"/>
  </cols>
  <sheetData>
    <row r="1">
      <c r="A1" s="25" t="inlineStr">
        <is>
          <t>DAILY LOG: every scan leaves a note here (newest on top)</t>
        </is>
      </c>
    </row>
    <row r="2">
      <c r="A2" s="2" t="inlineStr">
        <is>
          <t>Written by your agent's scans (prompts/daily-scan.md). Research only: you decide every trade.</t>
        </is>
      </c>
    </row>
    <row r="4">
      <c r="A4" s="12" t="inlineStr">
        <is>
          <t>Date</t>
        </is>
      </c>
      <c r="B4" s="12" t="inlineStr">
        <is>
          <t>Scan</t>
        </is>
      </c>
      <c r="C4" s="12" t="inlineStr">
        <is>
          <t>Headline</t>
        </is>
      </c>
      <c r="D4" s="12" t="inlineStr">
        <is>
          <t>Ideas (buy / hold / trim)</t>
        </is>
      </c>
      <c r="E4" s="12" t="inlineStr">
        <is>
          <t>Buy-zone alerts</t>
        </is>
      </c>
      <c r="F4" s="12" t="inlineStr">
        <is>
          <t>Rebalance &amp; tax</t>
        </is>
      </c>
      <c r="G4" s="12" t="inlineStr">
        <is>
          <t>Risks</t>
        </is>
      </c>
    </row>
    <row r="5" ht="60" customHeight="1">
      <c r="A5" s="52" t="n">
        <v>46309</v>
      </c>
      <c r="B5" s="27" t="inlineStr">
        <is>
          <t>Setup</t>
        </is>
      </c>
      <c r="C5" s="50" t="inlineStr">
        <is>
          <t>Demo tracker created. Replace demo holdings with yours, then run the first scan.</t>
        </is>
      </c>
      <c r="D5" s="50" t="inlineStr">
        <is>
          <t>None yet.</t>
        </is>
      </c>
      <c r="E5" s="50" t="inlineStr">
        <is>
          <t>See Value Sleeve and Watchlist flags.</t>
        </is>
      </c>
      <c r="F5" s="50" t="inlineStr">
        <is>
          <t>Compare Dashboard gaps with the drift band.</t>
        </is>
      </c>
      <c r="G5" s="50" t="inlineStr">
        <is>
          <t>None logged.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53" t="inlineStr">
        <is>
          <t>HISTORY: one row per after-close scan (feeds the timeline chart)</t>
        </is>
      </c>
    </row>
    <row r="3">
      <c r="A3" s="12" t="inlineStr">
        <is>
          <t>Date</t>
        </is>
      </c>
      <c r="B3" s="12" t="inlineStr">
        <is>
          <t>Total</t>
        </is>
      </c>
      <c r="C3" s="12" t="inlineStr">
        <is>
          <t>Benchmark</t>
        </is>
      </c>
      <c r="D3" s="12" t="inlineStr">
        <is>
          <t>You (index)</t>
        </is>
      </c>
      <c r="E3" s="12" t="inlineStr">
        <is>
          <t>Benchmark (index)</t>
        </is>
      </c>
      <c r="F3" s="12" t="inlineStr">
        <is>
          <t>Note</t>
        </is>
      </c>
    </row>
    <row r="4">
      <c r="A4" s="54" t="n">
        <v>46024</v>
      </c>
      <c r="B4" s="55" t="n">
        <v>46145</v>
      </c>
      <c r="C4" s="56" t="n">
        <v>100</v>
      </c>
      <c r="D4" s="57">
        <f>IF($B4="",NA(),$B4/$B$4*100)</f>
        <v/>
      </c>
      <c r="E4" s="57">
        <f>IF($C4="",NA(),$C4/$C$4*100)</f>
        <v/>
      </c>
      <c r="F4" s="2" t="inlineStr">
        <is>
          <t>Demo start</t>
        </is>
      </c>
    </row>
    <row r="5">
      <c r="A5" s="54" t="n">
        <v>46055</v>
      </c>
      <c r="B5" s="55" t="n">
        <v>46698</v>
      </c>
      <c r="C5" s="56" t="n">
        <v>101.2</v>
      </c>
      <c r="D5" s="57">
        <f>IF($B5="",NA(),$B5/$B$4*100)</f>
        <v/>
      </c>
      <c r="E5" s="57">
        <f>IF($C5="",NA(),$C5/$C$4*100)</f>
        <v/>
      </c>
      <c r="F5" s="2" t="inlineStr">
        <is>
          <t>Demo</t>
        </is>
      </c>
    </row>
    <row r="6">
      <c r="A6" s="54" t="n">
        <v>46083</v>
      </c>
      <c r="B6" s="55" t="n">
        <v>45960</v>
      </c>
      <c r="C6" s="56" t="n">
        <v>99.09999999999999</v>
      </c>
      <c r="D6" s="57">
        <f>IF($B6="",NA(),$B6/$B$4*100)</f>
        <v/>
      </c>
      <c r="E6" s="57">
        <f>IF($C6="",NA(),$C6/$C$4*100)</f>
        <v/>
      </c>
      <c r="F6" s="2" t="inlineStr">
        <is>
          <t>Demo</t>
        </is>
      </c>
    </row>
    <row r="7">
      <c r="A7" s="54" t="n">
        <v>46113</v>
      </c>
      <c r="B7" s="55" t="n">
        <v>47252</v>
      </c>
      <c r="C7" s="56" t="n">
        <v>102.6</v>
      </c>
      <c r="D7" s="57">
        <f>IF($B7="",NA(),$B7/$B$4*100)</f>
        <v/>
      </c>
      <c r="E7" s="57">
        <f>IF($C7="",NA(),$C7/$C$4*100)</f>
        <v/>
      </c>
      <c r="F7" s="2" t="inlineStr">
        <is>
          <t>Demo</t>
        </is>
      </c>
    </row>
    <row r="8">
      <c r="A8" s="54" t="n">
        <v>46143</v>
      </c>
      <c r="B8" s="55" t="n">
        <v>47898</v>
      </c>
      <c r="C8" s="56" t="n">
        <v>103.9</v>
      </c>
      <c r="D8" s="57">
        <f>IF($B8="",NA(),$B8/$B$4*100)</f>
        <v/>
      </c>
      <c r="E8" s="57">
        <f>IF($C8="",NA(),$C8/$C$4*100)</f>
        <v/>
      </c>
      <c r="F8" s="2" t="inlineStr">
        <is>
          <t>Demo</t>
        </is>
      </c>
    </row>
    <row r="9">
      <c r="A9" s="54" t="n">
        <v>46174</v>
      </c>
      <c r="B9" s="55" t="n">
        <v>48314</v>
      </c>
      <c r="C9" s="56" t="n">
        <v>105</v>
      </c>
      <c r="D9" s="57">
        <f>IF($B9="",NA(),$B9/$B$4*100)</f>
        <v/>
      </c>
      <c r="E9" s="57">
        <f>IF($C9="",NA(),$C9/$C$4*100)</f>
        <v/>
      </c>
      <c r="F9" s="2" t="inlineStr">
        <is>
          <t>Demo</t>
        </is>
      </c>
    </row>
    <row r="10">
      <c r="A10" s="54" t="n">
        <v>46204</v>
      </c>
      <c r="B10" s="55" t="n">
        <v>48913</v>
      </c>
      <c r="C10" s="56" t="n">
        <v>106.8</v>
      </c>
      <c r="D10" s="57">
        <f>IF($B10="",NA(),$B10/$B$4*100)</f>
        <v/>
      </c>
      <c r="E10" s="57">
        <f>IF($C10="",NA(),$C10/$C$4*100)</f>
        <v/>
      </c>
      <c r="F10" s="2" t="inlineStr">
        <is>
          <t>Demo</t>
        </is>
      </c>
    </row>
    <row r="11">
      <c r="A11" s="54" t="n">
        <v>46237</v>
      </c>
      <c r="B11" s="55" t="n">
        <v>48637</v>
      </c>
      <c r="C11" s="56" t="n">
        <v>105.9</v>
      </c>
      <c r="D11" s="57">
        <f>IF($B11="",NA(),$B11/$B$4*100)</f>
        <v/>
      </c>
      <c r="E11" s="57">
        <f>IF($C11="",NA(),$C11/$C$4*100)</f>
        <v/>
      </c>
      <c r="F11" s="2" t="inlineStr">
        <is>
          <t>Demo</t>
        </is>
      </c>
    </row>
    <row r="12">
      <c r="A12" s="54" t="n">
        <v>46266</v>
      </c>
      <c r="B12" s="55" t="n">
        <v>49467</v>
      </c>
      <c r="C12" s="56" t="n">
        <v>107.7</v>
      </c>
      <c r="D12" s="57">
        <f>IF($B12="",NA(),$B12/$B$4*100)</f>
        <v/>
      </c>
      <c r="E12" s="57">
        <f>IF($C12="",NA(),$C12/$C$4*100)</f>
        <v/>
      </c>
      <c r="F12" s="2" t="inlineStr">
        <is>
          <t>Demo</t>
        </is>
      </c>
    </row>
    <row r="13">
      <c r="A13" s="54" t="n">
        <v>46296</v>
      </c>
      <c r="B13" s="55" t="n">
        <v>50000</v>
      </c>
      <c r="C13" s="56" t="n">
        <v>108.9</v>
      </c>
      <c r="D13" s="57">
        <f>IF($B13="",NA(),$B13/$B$4*100)</f>
        <v/>
      </c>
      <c r="E13" s="57">
        <f>IF($C13="",NA(),$C13/$C$4*100)</f>
        <v/>
      </c>
      <c r="F13" s="2" t="inlineStr">
        <is>
          <t>Demo</t>
        </is>
      </c>
    </row>
    <row r="14">
      <c r="D14" s="57">
        <f>IF($B14="",NA(),$B14/$B$4*100)</f>
        <v/>
      </c>
      <c r="E14" s="57">
        <f>IF($C14="",NA(),$C14/$C$4*100)</f>
        <v/>
      </c>
    </row>
    <row r="15">
      <c r="D15" s="57">
        <f>IF($B15="",NA(),$B15/$B$4*100)</f>
        <v/>
      </c>
      <c r="E15" s="57">
        <f>IF($C15="",NA(),$C15/$C$4*100)</f>
        <v/>
      </c>
    </row>
    <row r="16">
      <c r="D16" s="57">
        <f>IF($B16="",NA(),$B16/$B$4*100)</f>
        <v/>
      </c>
      <c r="E16" s="57">
        <f>IF($C16="",NA(),$C16/$C$4*100)</f>
        <v/>
      </c>
    </row>
    <row r="17">
      <c r="D17" s="57">
        <f>IF($B17="",NA(),$B17/$B$4*100)</f>
        <v/>
      </c>
      <c r="E17" s="57">
        <f>IF($C17="",NA(),$C17/$C$4*100)</f>
        <v/>
      </c>
    </row>
    <row r="18">
      <c r="D18" s="57">
        <f>IF($B18="",NA(),$B18/$B$4*100)</f>
        <v/>
      </c>
      <c r="E18" s="57">
        <f>IF($C18="",NA(),$C18/$C$4*100)</f>
        <v/>
      </c>
    </row>
    <row r="19">
      <c r="D19" s="57">
        <f>IF($B19="",NA(),$B19/$B$4*100)</f>
        <v/>
      </c>
      <c r="E19" s="57">
        <f>IF($C19="",NA(),$C19/$C$4*100)</f>
        <v/>
      </c>
    </row>
    <row r="20">
      <c r="D20" s="57">
        <f>IF($B20="",NA(),$B20/$B$4*100)</f>
        <v/>
      </c>
      <c r="E20" s="57">
        <f>IF($C20="",NA(),$C20/$C$4*100)</f>
        <v/>
      </c>
    </row>
    <row r="21">
      <c r="D21" s="57">
        <f>IF($B21="",NA(),$B21/$B$4*100)</f>
        <v/>
      </c>
      <c r="E21" s="57">
        <f>IF($C21="",NA(),$C21/$C$4*100)</f>
        <v/>
      </c>
    </row>
    <row r="22">
      <c r="D22" s="57">
        <f>IF($B22="",NA(),$B22/$B$4*100)</f>
        <v/>
      </c>
      <c r="E22" s="57">
        <f>IF($C22="",NA(),$C22/$C$4*100)</f>
        <v/>
      </c>
    </row>
    <row r="23">
      <c r="D23" s="57">
        <f>IF($B23="",NA(),$B23/$B$4*100)</f>
        <v/>
      </c>
      <c r="E23" s="57">
        <f>IF($C23="",NA(),$C23/$C$4*100)</f>
        <v/>
      </c>
    </row>
    <row r="24">
      <c r="D24" s="57">
        <f>IF($B24="",NA(),$B24/$B$4*100)</f>
        <v/>
      </c>
      <c r="E24" s="57">
        <f>IF($C24="",NA(),$C24/$C$4*100)</f>
        <v/>
      </c>
    </row>
    <row r="25">
      <c r="D25" s="57">
        <f>IF($B25="",NA(),$B25/$B$4*100)</f>
        <v/>
      </c>
      <c r="E25" s="57">
        <f>IF($C25="",NA(),$C25/$C$4*100)</f>
        <v/>
      </c>
    </row>
    <row r="26">
      <c r="D26" s="57">
        <f>IF($B26="",NA(),$B26/$B$4*100)</f>
        <v/>
      </c>
      <c r="E26" s="57">
        <f>IF($C26="",NA(),$C26/$C$4*100)</f>
        <v/>
      </c>
    </row>
    <row r="27">
      <c r="D27" s="57">
        <f>IF($B27="",NA(),$B27/$B$4*100)</f>
        <v/>
      </c>
      <c r="E27" s="57">
        <f>IF($C27="",NA(),$C27/$C$4*100)</f>
        <v/>
      </c>
    </row>
    <row r="28">
      <c r="D28" s="57">
        <f>IF($B28="",NA(),$B28/$B$4*100)</f>
        <v/>
      </c>
      <c r="E28" s="57">
        <f>IF($C28="",NA(),$C28/$C$4*100)</f>
        <v/>
      </c>
    </row>
    <row r="29">
      <c r="D29" s="57">
        <f>IF($B29="",NA(),$B29/$B$4*100)</f>
        <v/>
      </c>
      <c r="E29" s="57">
        <f>IF($C29="",NA(),$C29/$C$4*100)</f>
        <v/>
      </c>
    </row>
    <row r="30">
      <c r="D30" s="57">
        <f>IF($B30="",NA(),$B30/$B$4*100)</f>
        <v/>
      </c>
      <c r="E30" s="57">
        <f>IF($C30="",NA(),$C30/$C$4*100)</f>
        <v/>
      </c>
    </row>
    <row r="31">
      <c r="D31" s="57">
        <f>IF($B31="",NA(),$B31/$B$4*100)</f>
        <v/>
      </c>
      <c r="E31" s="57">
        <f>IF($C31="",NA(),$C31/$C$4*100)</f>
        <v/>
      </c>
    </row>
    <row r="32">
      <c r="D32" s="57">
        <f>IF($B32="",NA(),$B32/$B$4*100)</f>
        <v/>
      </c>
      <c r="E32" s="57">
        <f>IF($C32="",NA(),$C32/$C$4*100)</f>
        <v/>
      </c>
    </row>
    <row r="33">
      <c r="D33" s="57">
        <f>IF($B33="",NA(),$B33/$B$4*100)</f>
        <v/>
      </c>
      <c r="E33" s="57">
        <f>IF($C33="",NA(),$C33/$C$4*100)</f>
        <v/>
      </c>
    </row>
    <row r="34">
      <c r="D34" s="57">
        <f>IF($B34="",NA(),$B34/$B$4*100)</f>
        <v/>
      </c>
      <c r="E34" s="57">
        <f>IF($C34="",NA(),$C34/$C$4*100)</f>
        <v/>
      </c>
    </row>
    <row r="35">
      <c r="D35" s="57">
        <f>IF($B35="",NA(),$B35/$B$4*100)</f>
        <v/>
      </c>
      <c r="E35" s="57">
        <f>IF($C35="",NA(),$C35/$C$4*100)</f>
        <v/>
      </c>
    </row>
    <row r="36">
      <c r="D36" s="57">
        <f>IF($B36="",NA(),$B36/$B$4*100)</f>
        <v/>
      </c>
      <c r="E36" s="57">
        <f>IF($C36="",NA(),$C36/$C$4*100)</f>
        <v/>
      </c>
    </row>
    <row r="37">
      <c r="D37" s="57">
        <f>IF($B37="",NA(),$B37/$B$4*100)</f>
        <v/>
      </c>
      <c r="E37" s="57">
        <f>IF($C37="",NA(),$C37/$C$4*100)</f>
        <v/>
      </c>
    </row>
    <row r="38">
      <c r="D38" s="57">
        <f>IF($B38="",NA(),$B38/$B$4*100)</f>
        <v/>
      </c>
      <c r="E38" s="57">
        <f>IF($C38="",NA(),$C38/$C$4*100)</f>
        <v/>
      </c>
    </row>
    <row r="39">
      <c r="D39" s="57">
        <f>IF($B39="",NA(),$B39/$B$4*100)</f>
        <v/>
      </c>
      <c r="E39" s="57">
        <f>IF($C39="",NA(),$C39/$C$4*100)</f>
        <v/>
      </c>
    </row>
    <row r="40">
      <c r="D40" s="57">
        <f>IF($B40="",NA(),$B40/$B$4*100)</f>
        <v/>
      </c>
      <c r="E40" s="57">
        <f>IF($C40="",NA(),$C40/$C$4*100)</f>
        <v/>
      </c>
    </row>
    <row r="41">
      <c r="D41" s="57">
        <f>IF($B41="",NA(),$B41/$B$4*100)</f>
        <v/>
      </c>
      <c r="E41" s="57">
        <f>IF($C41="",NA(),$C41/$C$4*100)</f>
        <v/>
      </c>
    </row>
    <row r="42">
      <c r="D42" s="57">
        <f>IF($B42="",NA(),$B42/$B$4*100)</f>
        <v/>
      </c>
      <c r="E42" s="57">
        <f>IF($C42="",NA(),$C42/$C$4*100)</f>
        <v/>
      </c>
    </row>
    <row r="43">
      <c r="D43" s="57">
        <f>IF($B43="",NA(),$B43/$B$4*100)</f>
        <v/>
      </c>
      <c r="E43" s="57">
        <f>IF($C43="",NA(),$C43/$C$4*100)</f>
        <v/>
      </c>
    </row>
    <row r="44">
      <c r="D44" s="57">
        <f>IF($B44="",NA(),$B44/$B$4*100)</f>
        <v/>
      </c>
      <c r="E44" s="57">
        <f>IF($C44="",NA(),$C44/$C$4*100)</f>
        <v/>
      </c>
    </row>
    <row r="45">
      <c r="D45" s="57">
        <f>IF($B45="",NA(),$B45/$B$4*100)</f>
        <v/>
      </c>
      <c r="E45" s="57">
        <f>IF($C45="",NA(),$C45/$C$4*100)</f>
        <v/>
      </c>
    </row>
    <row r="46">
      <c r="D46" s="57">
        <f>IF($B46="",NA(),$B46/$B$4*100)</f>
        <v/>
      </c>
      <c r="E46" s="57">
        <f>IF($C46="",NA(),$C46/$C$4*100)</f>
        <v/>
      </c>
    </row>
    <row r="47">
      <c r="D47" s="57">
        <f>IF($B47="",NA(),$B47/$B$4*100)</f>
        <v/>
      </c>
      <c r="E47" s="57">
        <f>IF($C47="",NA(),$C47/$C$4*100)</f>
        <v/>
      </c>
    </row>
    <row r="48">
      <c r="D48" s="57">
        <f>IF($B48="",NA(),$B48/$B$4*100)</f>
        <v/>
      </c>
      <c r="E48" s="57">
        <f>IF($C48="",NA(),$C48/$C$4*100)</f>
        <v/>
      </c>
    </row>
    <row r="49">
      <c r="D49" s="57">
        <f>IF($B49="",NA(),$B49/$B$4*100)</f>
        <v/>
      </c>
      <c r="E49" s="57">
        <f>IF($C49="",NA(),$C49/$C$4*100)</f>
        <v/>
      </c>
    </row>
    <row r="50">
      <c r="D50" s="57">
        <f>IF($B50="",NA(),$B50/$B$4*100)</f>
        <v/>
      </c>
      <c r="E50" s="57">
        <f>IF($C50="",NA(),$C50/$C$4*100)</f>
        <v/>
      </c>
    </row>
    <row r="51">
      <c r="D51" s="57">
        <f>IF($B51="",NA(),$B51/$B$4*100)</f>
        <v/>
      </c>
      <c r="E51" s="57">
        <f>IF($C51="",NA(),$C51/$C$4*100)</f>
        <v/>
      </c>
    </row>
    <row r="52">
      <c r="D52" s="57">
        <f>IF($B52="",NA(),$B52/$B$4*100)</f>
        <v/>
      </c>
      <c r="E52" s="57">
        <f>IF($C52="",NA(),$C52/$C$4*100)</f>
        <v/>
      </c>
    </row>
    <row r="53">
      <c r="D53" s="57">
        <f>IF($B53="",NA(),$B53/$B$4*100)</f>
        <v/>
      </c>
      <c r="E53" s="57">
        <f>IF($C53="",NA(),$C53/$C$4*100)</f>
        <v/>
      </c>
    </row>
    <row r="54">
      <c r="D54" s="57">
        <f>IF($B54="",NA(),$B54/$B$4*100)</f>
        <v/>
      </c>
      <c r="E54" s="57">
        <f>IF($C54="",NA(),$C54/$C$4*100)</f>
        <v/>
      </c>
    </row>
    <row r="55">
      <c r="D55" s="57">
        <f>IF($B55="",NA(),$B55/$B$4*100)</f>
        <v/>
      </c>
      <c r="E55" s="57">
        <f>IF($C55="",NA(),$C55/$C$4*100)</f>
        <v/>
      </c>
    </row>
    <row r="56">
      <c r="D56" s="57">
        <f>IF($B56="",NA(),$B56/$B$4*100)</f>
        <v/>
      </c>
      <c r="E56" s="57">
        <f>IF($C56="",NA(),$C56/$C$4*100)</f>
        <v/>
      </c>
    </row>
    <row r="57">
      <c r="D57" s="57">
        <f>IF($B57="",NA(),$B57/$B$4*100)</f>
        <v/>
      </c>
      <c r="E57" s="57">
        <f>IF($C57="",NA(),$C57/$C$4*100)</f>
        <v/>
      </c>
    </row>
    <row r="58">
      <c r="D58" s="57">
        <f>IF($B58="",NA(),$B58/$B$4*100)</f>
        <v/>
      </c>
      <c r="E58" s="57">
        <f>IF($C58="",NA(),$C58/$C$4*100)</f>
        <v/>
      </c>
    </row>
    <row r="59">
      <c r="D59" s="57">
        <f>IF($B59="",NA(),$B59/$B$4*100)</f>
        <v/>
      </c>
      <c r="E59" s="57">
        <f>IF($C59="",NA(),$C59/$C$4*100)</f>
        <v/>
      </c>
    </row>
    <row r="60">
      <c r="D60" s="57">
        <f>IF($B60="",NA(),$B60/$B$4*100)</f>
        <v/>
      </c>
      <c r="E60" s="57">
        <f>IF($C60="",NA(),$C60/$C$4*100)</f>
        <v/>
      </c>
    </row>
    <row r="61">
      <c r="D61" s="57">
        <f>IF($B61="",NA(),$B61/$B$4*100)</f>
        <v/>
      </c>
      <c r="E61" s="57">
        <f>IF($C61="",NA(),$C61/$C$4*100)</f>
        <v/>
      </c>
    </row>
    <row r="62">
      <c r="D62" s="57">
        <f>IF($B62="",NA(),$B62/$B$4*100)</f>
        <v/>
      </c>
      <c r="E62" s="57">
        <f>IF($C62="",NA(),$C62/$C$4*100)</f>
        <v/>
      </c>
    </row>
    <row r="63">
      <c r="D63" s="57">
        <f>IF($B63="",NA(),$B63/$B$4*100)</f>
        <v/>
      </c>
      <c r="E63" s="57">
        <f>IF($C63="",NA(),$C63/$C$4*100)</f>
        <v/>
      </c>
    </row>
    <row r="64">
      <c r="D64" s="57">
        <f>IF($B64="",NA(),$B64/$B$4*100)</f>
        <v/>
      </c>
      <c r="E64" s="57">
        <f>IF($C64="",NA(),$C64/$C$4*100)</f>
        <v/>
      </c>
    </row>
    <row r="65">
      <c r="D65" s="57">
        <f>IF($B65="",NA(),$B65/$B$4*100)</f>
        <v/>
      </c>
      <c r="E65" s="57">
        <f>IF($C65="",NA(),$C65/$C$4*100)</f>
        <v/>
      </c>
    </row>
    <row r="66">
      <c r="D66" s="57">
        <f>IF($B66="",NA(),$B66/$B$4*100)</f>
        <v/>
      </c>
      <c r="E66" s="57">
        <f>IF($C66="",NA(),$C66/$C$4*100)</f>
        <v/>
      </c>
    </row>
    <row r="67">
      <c r="D67" s="57">
        <f>IF($B67="",NA(),$B67/$B$4*100)</f>
        <v/>
      </c>
      <c r="E67" s="57">
        <f>IF($C67="",NA(),$C67/$C$4*100)</f>
        <v/>
      </c>
    </row>
    <row r="68">
      <c r="D68" s="57">
        <f>IF($B68="",NA(),$B68/$B$4*100)</f>
        <v/>
      </c>
      <c r="E68" s="57">
        <f>IF($C68="",NA(),$C68/$C$4*100)</f>
        <v/>
      </c>
    </row>
    <row r="69">
      <c r="D69" s="57">
        <f>IF($B69="",NA(),$B69/$B$4*100)</f>
        <v/>
      </c>
      <c r="E69" s="57">
        <f>IF($C69="",NA(),$C69/$C$4*100)</f>
        <v/>
      </c>
    </row>
    <row r="70">
      <c r="D70" s="57">
        <f>IF($B70="",NA(),$B70/$B$4*100)</f>
        <v/>
      </c>
      <c r="E70" s="57">
        <f>IF($C70="",NA(),$C70/$C$4*100)</f>
        <v/>
      </c>
    </row>
    <row r="71">
      <c r="D71" s="57">
        <f>IF($B71="",NA(),$B71/$B$4*100)</f>
        <v/>
      </c>
      <c r="E71" s="57">
        <f>IF($C71="",NA(),$C71/$C$4*100)</f>
        <v/>
      </c>
    </row>
    <row r="72">
      <c r="D72" s="57">
        <f>IF($B72="",NA(),$B72/$B$4*100)</f>
        <v/>
      </c>
      <c r="E72" s="57">
        <f>IF($C72="",NA(),$C72/$C$4*100)</f>
        <v/>
      </c>
    </row>
    <row r="73">
      <c r="D73" s="57">
        <f>IF($B73="",NA(),$B73/$B$4*100)</f>
        <v/>
      </c>
      <c r="E73" s="57">
        <f>IF($C73="",NA(),$C73/$C$4*100)</f>
        <v/>
      </c>
    </row>
    <row r="74">
      <c r="D74" s="57">
        <f>IF($B74="",NA(),$B74/$B$4*100)</f>
        <v/>
      </c>
      <c r="E74" s="57">
        <f>IF($C74="",NA(),$C74/$C$4*100)</f>
        <v/>
      </c>
    </row>
    <row r="75">
      <c r="D75" s="57">
        <f>IF($B75="",NA(),$B75/$B$4*100)</f>
        <v/>
      </c>
      <c r="E75" s="57">
        <f>IF($C75="",NA(),$C75/$C$4*100)</f>
        <v/>
      </c>
    </row>
    <row r="76">
      <c r="D76" s="57">
        <f>IF($B76="",NA(),$B76/$B$4*100)</f>
        <v/>
      </c>
      <c r="E76" s="57">
        <f>IF($C76="",NA(),$C76/$C$4*100)</f>
        <v/>
      </c>
    </row>
    <row r="77">
      <c r="D77" s="57">
        <f>IF($B77="",NA(),$B77/$B$4*100)</f>
        <v/>
      </c>
      <c r="E77" s="57">
        <f>IF($C77="",NA(),$C77/$C$4*100)</f>
        <v/>
      </c>
    </row>
    <row r="78">
      <c r="D78" s="57">
        <f>IF($B78="",NA(),$B78/$B$4*100)</f>
        <v/>
      </c>
      <c r="E78" s="57">
        <f>IF($C78="",NA(),$C78/$C$4*100)</f>
        <v/>
      </c>
    </row>
    <row r="79">
      <c r="D79" s="57">
        <f>IF($B79="",NA(),$B79/$B$4*100)</f>
        <v/>
      </c>
      <c r="E79" s="57">
        <f>IF($C79="",NA(),$C79/$C$4*100)</f>
        <v/>
      </c>
    </row>
    <row r="80">
      <c r="D80" s="57">
        <f>IF($B80="",NA(),$B80/$B$4*100)</f>
        <v/>
      </c>
      <c r="E80" s="57">
        <f>IF($C80="",NA(),$C80/$C$4*100)</f>
        <v/>
      </c>
    </row>
    <row r="81">
      <c r="D81" s="57">
        <f>IF($B81="",NA(),$B81/$B$4*100)</f>
        <v/>
      </c>
      <c r="E81" s="57">
        <f>IF($C81="",NA(),$C81/$C$4*100)</f>
        <v/>
      </c>
    </row>
    <row r="82">
      <c r="D82" s="57">
        <f>IF($B82="",NA(),$B82/$B$4*100)</f>
        <v/>
      </c>
      <c r="E82" s="57">
        <f>IF($C82="",NA(),$C82/$C$4*100)</f>
        <v/>
      </c>
    </row>
    <row r="83">
      <c r="D83" s="57">
        <f>IF($B83="",NA(),$B83/$B$4*100)</f>
        <v/>
      </c>
      <c r="E83" s="57">
        <f>IF($C83="",NA(),$C83/$C$4*100)</f>
        <v/>
      </c>
    </row>
    <row r="84">
      <c r="D84" s="57">
        <f>IF($B84="",NA(),$B84/$B$4*100)</f>
        <v/>
      </c>
      <c r="E84" s="57">
        <f>IF($C84="",NA(),$C84/$C$4*100)</f>
        <v/>
      </c>
    </row>
    <row r="85">
      <c r="D85" s="57">
        <f>IF($B85="",NA(),$B85/$B$4*100)</f>
        <v/>
      </c>
      <c r="E85" s="57">
        <f>IF($C85="",NA(),$C85/$C$4*100)</f>
        <v/>
      </c>
    </row>
    <row r="86">
      <c r="D86" s="57">
        <f>IF($B86="",NA(),$B86/$B$4*100)</f>
        <v/>
      </c>
      <c r="E86" s="57">
        <f>IF($C86="",NA(),$C86/$C$4*100)</f>
        <v/>
      </c>
    </row>
    <row r="87">
      <c r="D87" s="57">
        <f>IF($B87="",NA(),$B87/$B$4*100)</f>
        <v/>
      </c>
      <c r="E87" s="57">
        <f>IF($C87="",NA(),$C87/$C$4*100)</f>
        <v/>
      </c>
    </row>
    <row r="88">
      <c r="D88" s="57">
        <f>IF($B88="",NA(),$B88/$B$4*100)</f>
        <v/>
      </c>
      <c r="E88" s="57">
        <f>IF($C88="",NA(),$C88/$C$4*100)</f>
        <v/>
      </c>
    </row>
    <row r="89">
      <c r="D89" s="57">
        <f>IF($B89="",NA(),$B89/$B$4*100)</f>
        <v/>
      </c>
      <c r="E89" s="57">
        <f>IF($C89="",NA(),$C89/$C$4*100)</f>
        <v/>
      </c>
    </row>
    <row r="90">
      <c r="D90" s="57">
        <f>IF($B90="",NA(),$B90/$B$4*100)</f>
        <v/>
      </c>
      <c r="E90" s="57">
        <f>IF($C90="",NA(),$C90/$C$4*100)</f>
        <v/>
      </c>
    </row>
    <row r="91">
      <c r="D91" s="57">
        <f>IF($B91="",NA(),$B91/$B$4*100)</f>
        <v/>
      </c>
      <c r="E91" s="57">
        <f>IF($C91="",NA(),$C91/$C$4*100)</f>
        <v/>
      </c>
    </row>
    <row r="92">
      <c r="D92" s="57">
        <f>IF($B92="",NA(),$B92/$B$4*100)</f>
        <v/>
      </c>
      <c r="E92" s="57">
        <f>IF($C92="",NA(),$C92/$C$4*100)</f>
        <v/>
      </c>
    </row>
    <row r="93">
      <c r="D93" s="57">
        <f>IF($B93="",NA(),$B93/$B$4*100)</f>
        <v/>
      </c>
      <c r="E93" s="57">
        <f>IF($C93="",NA(),$C93/$C$4*100)</f>
        <v/>
      </c>
    </row>
    <row r="94">
      <c r="D94" s="57">
        <f>IF($B94="",NA(),$B94/$B$4*100)</f>
        <v/>
      </c>
      <c r="E94" s="57">
        <f>IF($C94="",NA(),$C94/$C$4*100)</f>
        <v/>
      </c>
    </row>
    <row r="95">
      <c r="D95" s="57">
        <f>IF($B95="",NA(),$B95/$B$4*100)</f>
        <v/>
      </c>
      <c r="E95" s="57">
        <f>IF($C95="",NA(),$C95/$C$4*100)</f>
        <v/>
      </c>
    </row>
    <row r="96">
      <c r="D96" s="57">
        <f>IF($B96="",NA(),$B96/$B$4*100)</f>
        <v/>
      </c>
      <c r="E96" s="57">
        <f>IF($C96="",NA(),$C96/$C$4*100)</f>
        <v/>
      </c>
    </row>
    <row r="97">
      <c r="D97" s="57">
        <f>IF($B97="",NA(),$B97/$B$4*100)</f>
        <v/>
      </c>
      <c r="E97" s="57">
        <f>IF($C97="",NA(),$C97/$C$4*100)</f>
        <v/>
      </c>
    </row>
    <row r="98">
      <c r="D98" s="57">
        <f>IF($B98="",NA(),$B98/$B$4*100)</f>
        <v/>
      </c>
      <c r="E98" s="57">
        <f>IF($C98="",NA(),$C98/$C$4*100)</f>
        <v/>
      </c>
    </row>
    <row r="99">
      <c r="D99" s="57">
        <f>IF($B99="",NA(),$B99/$B$4*100)</f>
        <v/>
      </c>
      <c r="E99" s="57">
        <f>IF($C99="",NA(),$C99/$C$4*100)</f>
        <v/>
      </c>
    </row>
    <row r="100">
      <c r="D100" s="57">
        <f>IF($B100="",NA(),$B100/$B$4*100)</f>
        <v/>
      </c>
      <c r="E100" s="57">
        <f>IF($C100="",NA(),$C100/$C$4*100)</f>
        <v/>
      </c>
    </row>
    <row r="101">
      <c r="D101" s="57">
        <f>IF($B101="",NA(),$B101/$B$4*100)</f>
        <v/>
      </c>
      <c r="E101" s="57">
        <f>IF($C101="",NA(),$C101/$C$4*100)</f>
        <v/>
      </c>
    </row>
    <row r="102">
      <c r="D102" s="57">
        <f>IF($B102="",NA(),$B102/$B$4*100)</f>
        <v/>
      </c>
      <c r="E102" s="57">
        <f>IF($C102="",NA(),$C102/$C$4*100)</f>
        <v/>
      </c>
    </row>
    <row r="103">
      <c r="D103" s="57">
        <f>IF($B103="",NA(),$B103/$B$4*100)</f>
        <v/>
      </c>
      <c r="E103" s="57">
        <f>IF($C103="",NA(),$C103/$C$4*100)</f>
        <v/>
      </c>
    </row>
    <row r="104">
      <c r="D104" s="57">
        <f>IF($B104="",NA(),$B104/$B$4*100)</f>
        <v/>
      </c>
      <c r="E104" s="57">
        <f>IF($C104="",NA(),$C104/$C$4*100)</f>
        <v/>
      </c>
    </row>
    <row r="105">
      <c r="D105" s="57">
        <f>IF($B105="",NA(),$B105/$B$4*100)</f>
        <v/>
      </c>
      <c r="E105" s="57">
        <f>IF($C105="",NA(),$C105/$C$4*100)</f>
        <v/>
      </c>
    </row>
    <row r="106">
      <c r="D106" s="57">
        <f>IF($B106="",NA(),$B106/$B$4*100)</f>
        <v/>
      </c>
      <c r="E106" s="57">
        <f>IF($C106="",NA(),$C106/$C$4*100)</f>
        <v/>
      </c>
    </row>
    <row r="107">
      <c r="D107" s="57">
        <f>IF($B107="",NA(),$B107/$B$4*100)</f>
        <v/>
      </c>
      <c r="E107" s="57">
        <f>IF($C107="",NA(),$C107/$C$4*100)</f>
        <v/>
      </c>
    </row>
    <row r="108">
      <c r="D108" s="57">
        <f>IF($B108="",NA(),$B108/$B$4*100)</f>
        <v/>
      </c>
      <c r="E108" s="57">
        <f>IF($C108="",NA(),$C108/$C$4*100)</f>
        <v/>
      </c>
    </row>
    <row r="109">
      <c r="D109" s="57">
        <f>IF($B109="",NA(),$B109/$B$4*100)</f>
        <v/>
      </c>
      <c r="E109" s="57">
        <f>IF($C109="",NA(),$C109/$C$4*100)</f>
        <v/>
      </c>
    </row>
    <row r="110">
      <c r="D110" s="57">
        <f>IF($B110="",NA(),$B110/$B$4*100)</f>
        <v/>
      </c>
      <c r="E110" s="57">
        <f>IF($C110="",NA(),$C110/$C$4*100)</f>
        <v/>
      </c>
    </row>
    <row r="111">
      <c r="D111" s="57">
        <f>IF($B111="",NA(),$B111/$B$4*100)</f>
        <v/>
      </c>
      <c r="E111" s="57">
        <f>IF($C111="",NA(),$C111/$C$4*100)</f>
        <v/>
      </c>
    </row>
    <row r="112">
      <c r="D112" s="57">
        <f>IF($B112="",NA(),$B112/$B$4*100)</f>
        <v/>
      </c>
      <c r="E112" s="57">
        <f>IF($C112="",NA(),$C112/$C$4*100)</f>
        <v/>
      </c>
    </row>
    <row r="113">
      <c r="D113" s="57">
        <f>IF($B113="",NA(),$B113/$B$4*100)</f>
        <v/>
      </c>
      <c r="E113" s="57">
        <f>IF($C113="",NA(),$C113/$C$4*100)</f>
        <v/>
      </c>
    </row>
    <row r="114">
      <c r="D114" s="57">
        <f>IF($B114="",NA(),$B114/$B$4*100)</f>
        <v/>
      </c>
      <c r="E114" s="57">
        <f>IF($C114="",NA(),$C114/$C$4*100)</f>
        <v/>
      </c>
    </row>
    <row r="115">
      <c r="D115" s="57">
        <f>IF($B115="",NA(),$B115/$B$4*100)</f>
        <v/>
      </c>
      <c r="E115" s="57">
        <f>IF($C115="",NA(),$C115/$C$4*100)</f>
        <v/>
      </c>
    </row>
    <row r="116">
      <c r="D116" s="57">
        <f>IF($B116="",NA(),$B116/$B$4*100)</f>
        <v/>
      </c>
      <c r="E116" s="57">
        <f>IF($C116="",NA(),$C116/$C$4*100)</f>
        <v/>
      </c>
    </row>
    <row r="117">
      <c r="D117" s="57">
        <f>IF($B117="",NA(),$B117/$B$4*100)</f>
        <v/>
      </c>
      <c r="E117" s="57">
        <f>IF($C117="",NA(),$C117/$C$4*100)</f>
        <v/>
      </c>
    </row>
    <row r="118">
      <c r="D118" s="57">
        <f>IF($B118="",NA(),$B118/$B$4*100)</f>
        <v/>
      </c>
      <c r="E118" s="57">
        <f>IF($C118="",NA(),$C118/$C$4*100)</f>
        <v/>
      </c>
    </row>
    <row r="119">
      <c r="D119" s="57">
        <f>IF($B119="",NA(),$B119/$B$4*100)</f>
        <v/>
      </c>
      <c r="E119" s="57">
        <f>IF($C119="",NA(),$C119/$C$4*100)</f>
        <v/>
      </c>
    </row>
    <row r="120">
      <c r="D120" s="57">
        <f>IF($B120="",NA(),$B120/$B$4*100)</f>
        <v/>
      </c>
      <c r="E120" s="57">
        <f>IF($C120="",NA(),$C120/$C$4*100)</f>
        <v/>
      </c>
    </row>
    <row r="121">
      <c r="D121" s="57">
        <f>IF($B121="",NA(),$B121/$B$4*100)</f>
        <v/>
      </c>
      <c r="E121" s="57">
        <f>IF($C121="",NA(),$C121/$C$4*100)</f>
        <v/>
      </c>
    </row>
    <row r="122">
      <c r="D122" s="57">
        <f>IF($B122="",NA(),$B122/$B$4*100)</f>
        <v/>
      </c>
      <c r="E122" s="57">
        <f>IF($C122="",NA(),$C122/$C$4*100)</f>
        <v/>
      </c>
    </row>
    <row r="123">
      <c r="D123" s="57">
        <f>IF($B123="",NA(),$B123/$B$4*100)</f>
        <v/>
      </c>
      <c r="E123" s="57">
        <f>IF($C123="",NA(),$C123/$C$4*100)</f>
        <v/>
      </c>
    </row>
    <row r="124">
      <c r="D124" s="57">
        <f>IF($B124="",NA(),$B124/$B$4*100)</f>
        <v/>
      </c>
      <c r="E124" s="57">
        <f>IF($C124="",NA(),$C124/$C$4*100)</f>
        <v/>
      </c>
    </row>
    <row r="125">
      <c r="D125" s="57">
        <f>IF($B125="",NA(),$B125/$B$4*100)</f>
        <v/>
      </c>
      <c r="E125" s="57">
        <f>IF($C125="",NA(),$C125/$C$4*100)</f>
        <v/>
      </c>
    </row>
    <row r="126">
      <c r="D126" s="57">
        <f>IF($B126="",NA(),$B126/$B$4*100)</f>
        <v/>
      </c>
      <c r="E126" s="57">
        <f>IF($C126="",NA(),$C126/$C$4*100)</f>
        <v/>
      </c>
    </row>
    <row r="127">
      <c r="D127" s="57">
        <f>IF($B127="",NA(),$B127/$B$4*100)</f>
        <v/>
      </c>
      <c r="E127" s="57">
        <f>IF($C127="",NA(),$C127/$C$4*100)</f>
        <v/>
      </c>
    </row>
    <row r="128">
      <c r="D128" s="57">
        <f>IF($B128="",NA(),$B128/$B$4*100)</f>
        <v/>
      </c>
      <c r="E128" s="57">
        <f>IF($C128="",NA(),$C128/$C$4*100)</f>
        <v/>
      </c>
    </row>
    <row r="129">
      <c r="D129" s="57">
        <f>IF($B129="",NA(),$B129/$B$4*100)</f>
        <v/>
      </c>
      <c r="E129" s="57">
        <f>IF($C129="",NA(),$C129/$C$4*100)</f>
        <v/>
      </c>
    </row>
    <row r="130">
      <c r="D130" s="57">
        <f>IF($B130="",NA(),$B130/$B$4*100)</f>
        <v/>
      </c>
      <c r="E130" s="57">
        <f>IF($C130="",NA(),$C130/$C$4*100)</f>
        <v/>
      </c>
    </row>
    <row r="131">
      <c r="D131" s="57">
        <f>IF($B131="",NA(),$B131/$B$4*100)</f>
        <v/>
      </c>
      <c r="E131" s="57">
        <f>IF($C131="",NA(),$C131/$C$4*100)</f>
        <v/>
      </c>
    </row>
    <row r="132">
      <c r="D132" s="57">
        <f>IF($B132="",NA(),$B132/$B$4*100)</f>
        <v/>
      </c>
      <c r="E132" s="57">
        <f>IF($C132="",NA(),$C132/$C$4*100)</f>
        <v/>
      </c>
    </row>
    <row r="133">
      <c r="D133" s="57">
        <f>IF($B133="",NA(),$B133/$B$4*100)</f>
        <v/>
      </c>
      <c r="E133" s="57">
        <f>IF($C133="",NA(),$C133/$C$4*100)</f>
        <v/>
      </c>
    </row>
    <row r="134">
      <c r="D134" s="57">
        <f>IF($B134="",NA(),$B134/$B$4*100)</f>
        <v/>
      </c>
      <c r="E134" s="57">
        <f>IF($C134="",NA(),$C134/$C$4*100)</f>
        <v/>
      </c>
    </row>
    <row r="135">
      <c r="D135" s="57">
        <f>IF($B135="",NA(),$B135/$B$4*100)</f>
        <v/>
      </c>
      <c r="E135" s="57">
        <f>IF($C135="",NA(),$C135/$C$4*100)</f>
        <v/>
      </c>
    </row>
    <row r="136">
      <c r="D136" s="57">
        <f>IF($B136="",NA(),$B136/$B$4*100)</f>
        <v/>
      </c>
      <c r="E136" s="57">
        <f>IF($C136="",NA(),$C136/$C$4*100)</f>
        <v/>
      </c>
    </row>
    <row r="137">
      <c r="D137" s="57">
        <f>IF($B137="",NA(),$B137/$B$4*100)</f>
        <v/>
      </c>
      <c r="E137" s="57">
        <f>IF($C137="",NA(),$C137/$C$4*100)</f>
        <v/>
      </c>
    </row>
    <row r="138">
      <c r="D138" s="57">
        <f>IF($B138="",NA(),$B138/$B$4*100)</f>
        <v/>
      </c>
      <c r="E138" s="57">
        <f>IF($C138="",NA(),$C138/$C$4*100)</f>
        <v/>
      </c>
    </row>
    <row r="139">
      <c r="D139" s="57">
        <f>IF($B139="",NA(),$B139/$B$4*100)</f>
        <v/>
      </c>
      <c r="E139" s="57">
        <f>IF($C139="",NA(),$C139/$C$4*100)</f>
        <v/>
      </c>
    </row>
    <row r="140">
      <c r="D140" s="57">
        <f>IF($B140="",NA(),$B140/$B$4*100)</f>
        <v/>
      </c>
      <c r="E140" s="57">
        <f>IF($C140="",NA(),$C140/$C$4*100)</f>
        <v/>
      </c>
    </row>
    <row r="141">
      <c r="D141" s="57">
        <f>IF($B141="",NA(),$B141/$B$4*100)</f>
        <v/>
      </c>
      <c r="E141" s="57">
        <f>IF($C141="",NA(),$C141/$C$4*100)</f>
        <v/>
      </c>
    </row>
    <row r="142">
      <c r="D142" s="57">
        <f>IF($B142="",NA(),$B142/$B$4*100)</f>
        <v/>
      </c>
      <c r="E142" s="57">
        <f>IF($C142="",NA(),$C142/$C$4*100)</f>
        <v/>
      </c>
    </row>
    <row r="143">
      <c r="D143" s="57">
        <f>IF($B143="",NA(),$B143/$B$4*100)</f>
        <v/>
      </c>
      <c r="E143" s="57">
        <f>IF($C143="",NA(),$C143/$C$4*100)</f>
        <v/>
      </c>
    </row>
    <row r="144">
      <c r="D144" s="57">
        <f>IF($B144="",NA(),$B144/$B$4*100)</f>
        <v/>
      </c>
      <c r="E144" s="57">
        <f>IF($C144="",NA(),$C144/$C$4*100)</f>
        <v/>
      </c>
    </row>
    <row r="145">
      <c r="D145" s="57">
        <f>IF($B145="",NA(),$B145/$B$4*100)</f>
        <v/>
      </c>
      <c r="E145" s="57">
        <f>IF($C145="",NA(),$C145/$C$4*100)</f>
        <v/>
      </c>
    </row>
    <row r="146">
      <c r="D146" s="57">
        <f>IF($B146="",NA(),$B146/$B$4*100)</f>
        <v/>
      </c>
      <c r="E146" s="57">
        <f>IF($C146="",NA(),$C146/$C$4*100)</f>
        <v/>
      </c>
    </row>
    <row r="147">
      <c r="D147" s="57">
        <f>IF($B147="",NA(),$B147/$B$4*100)</f>
        <v/>
      </c>
      <c r="E147" s="57">
        <f>IF($C147="",NA(),$C147/$C$4*100)</f>
        <v/>
      </c>
    </row>
    <row r="148">
      <c r="D148" s="57">
        <f>IF($B148="",NA(),$B148/$B$4*100)</f>
        <v/>
      </c>
      <c r="E148" s="57">
        <f>IF($C148="",NA(),$C148/$C$4*100)</f>
        <v/>
      </c>
    </row>
    <row r="149">
      <c r="D149" s="57">
        <f>IF($B149="",NA(),$B149/$B$4*100)</f>
        <v/>
      </c>
      <c r="E149" s="57">
        <f>IF($C149="",NA(),$C149/$C$4*100)</f>
        <v/>
      </c>
    </row>
    <row r="150">
      <c r="D150" s="57">
        <f>IF($B150="",NA(),$B150/$B$4*100)</f>
        <v/>
      </c>
      <c r="E150" s="57">
        <f>IF($C150="",NA(),$C150/$C$4*100)</f>
        <v/>
      </c>
    </row>
    <row r="151">
      <c r="D151" s="57">
        <f>IF($B151="",NA(),$B151/$B$4*100)</f>
        <v/>
      </c>
      <c r="E151" s="57">
        <f>IF($C151="",NA(),$C151/$C$4*100)</f>
        <v/>
      </c>
    </row>
    <row r="152">
      <c r="D152" s="57">
        <f>IF($B152="",NA(),$B152/$B$4*100)</f>
        <v/>
      </c>
      <c r="E152" s="57">
        <f>IF($C152="",NA(),$C152/$C$4*100)</f>
        <v/>
      </c>
    </row>
    <row r="153">
      <c r="D153" s="57">
        <f>IF($B153="",NA(),$B153/$B$4*100)</f>
        <v/>
      </c>
      <c r="E153" s="57">
        <f>IF($C153="",NA(),$C153/$C$4*100)</f>
        <v/>
      </c>
    </row>
    <row r="154">
      <c r="D154" s="57">
        <f>IF($B154="",NA(),$B154/$B$4*100)</f>
        <v/>
      </c>
      <c r="E154" s="57">
        <f>IF($C154="",NA(),$C154/$C$4*100)</f>
        <v/>
      </c>
    </row>
    <row r="155">
      <c r="D155" s="57">
        <f>IF($B155="",NA(),$B155/$B$4*100)</f>
        <v/>
      </c>
      <c r="E155" s="57">
        <f>IF($C155="",NA(),$C155/$C$4*100)</f>
        <v/>
      </c>
    </row>
    <row r="156">
      <c r="D156" s="57">
        <f>IF($B156="",NA(),$B156/$B$4*100)</f>
        <v/>
      </c>
      <c r="E156" s="57">
        <f>IF($C156="",NA(),$C156/$C$4*100)</f>
        <v/>
      </c>
    </row>
    <row r="157">
      <c r="D157" s="57">
        <f>IF($B157="",NA(),$B157/$B$4*100)</f>
        <v/>
      </c>
      <c r="E157" s="57">
        <f>IF($C157="",NA(),$C157/$C$4*100)</f>
        <v/>
      </c>
    </row>
    <row r="158">
      <c r="D158" s="57">
        <f>IF($B158="",NA(),$B158/$B$4*100)</f>
        <v/>
      </c>
      <c r="E158" s="57">
        <f>IF($C158="",NA(),$C158/$C$4*100)</f>
        <v/>
      </c>
    </row>
    <row r="159">
      <c r="D159" s="57">
        <f>IF($B159="",NA(),$B159/$B$4*100)</f>
        <v/>
      </c>
      <c r="E159" s="57">
        <f>IF($C159="",NA(),$C159/$C$4*100)</f>
        <v/>
      </c>
    </row>
    <row r="160">
      <c r="D160" s="57">
        <f>IF($B160="",NA(),$B160/$B$4*100)</f>
        <v/>
      </c>
      <c r="E160" s="57">
        <f>IF($C160="",NA(),$C160/$C$4*100)</f>
        <v/>
      </c>
    </row>
    <row r="161">
      <c r="D161" s="57">
        <f>IF($B161="",NA(),$B161/$B$4*100)</f>
        <v/>
      </c>
      <c r="E161" s="57">
        <f>IF($C161="",NA(),$C161/$C$4*100)</f>
        <v/>
      </c>
    </row>
    <row r="162">
      <c r="D162" s="57">
        <f>IF($B162="",NA(),$B162/$B$4*100)</f>
        <v/>
      </c>
      <c r="E162" s="57">
        <f>IF($C162="",NA(),$C162/$C$4*100)</f>
        <v/>
      </c>
    </row>
    <row r="163">
      <c r="D163" s="57">
        <f>IF($B163="",NA(),$B163/$B$4*100)</f>
        <v/>
      </c>
      <c r="E163" s="57">
        <f>IF($C163="",NA(),$C163/$C$4*100)</f>
        <v/>
      </c>
    </row>
    <row r="164">
      <c r="D164" s="57">
        <f>IF($B164="",NA(),$B164/$B$4*100)</f>
        <v/>
      </c>
      <c r="E164" s="57">
        <f>IF($C164="",NA(),$C164/$C$4*100)</f>
        <v/>
      </c>
    </row>
    <row r="165">
      <c r="D165" s="57">
        <f>IF($B165="",NA(),$B165/$B$4*100)</f>
        <v/>
      </c>
      <c r="E165" s="57">
        <f>IF($C165="",NA(),$C165/$C$4*100)</f>
        <v/>
      </c>
    </row>
    <row r="166">
      <c r="D166" s="57">
        <f>IF($B166="",NA(),$B166/$B$4*100)</f>
        <v/>
      </c>
      <c r="E166" s="57">
        <f>IF($C166="",NA(),$C166/$C$4*100)</f>
        <v/>
      </c>
    </row>
    <row r="167">
      <c r="D167" s="57">
        <f>IF($B167="",NA(),$B167/$B$4*100)</f>
        <v/>
      </c>
      <c r="E167" s="57">
        <f>IF($C167="",NA(),$C167/$C$4*100)</f>
        <v/>
      </c>
    </row>
    <row r="168">
      <c r="D168" s="57">
        <f>IF($B168="",NA(),$B168/$B$4*100)</f>
        <v/>
      </c>
      <c r="E168" s="57">
        <f>IF($C168="",NA(),$C168/$C$4*100)</f>
        <v/>
      </c>
    </row>
    <row r="169">
      <c r="D169" s="57">
        <f>IF($B169="",NA(),$B169/$B$4*100)</f>
        <v/>
      </c>
      <c r="E169" s="57">
        <f>IF($C169="",NA(),$C169/$C$4*100)</f>
        <v/>
      </c>
    </row>
    <row r="170">
      <c r="D170" s="57">
        <f>IF($B170="",NA(),$B170/$B$4*100)</f>
        <v/>
      </c>
      <c r="E170" s="57">
        <f>IF($C170="",NA(),$C170/$C$4*100)</f>
        <v/>
      </c>
    </row>
    <row r="171">
      <c r="D171" s="57">
        <f>IF($B171="",NA(),$B171/$B$4*100)</f>
        <v/>
      </c>
      <c r="E171" s="57">
        <f>IF($C171="",NA(),$C171/$C$4*100)</f>
        <v/>
      </c>
    </row>
    <row r="172">
      <c r="D172" s="57">
        <f>IF($B172="",NA(),$B172/$B$4*100)</f>
        <v/>
      </c>
      <c r="E172" s="57">
        <f>IF($C172="",NA(),$C172/$C$4*100)</f>
        <v/>
      </c>
    </row>
    <row r="173">
      <c r="D173" s="57">
        <f>IF($B173="",NA(),$B173/$B$4*100)</f>
        <v/>
      </c>
      <c r="E173" s="57">
        <f>IF($C173="",NA(),$C173/$C$4*100)</f>
        <v/>
      </c>
    </row>
    <row r="174">
      <c r="D174" s="57">
        <f>IF($B174="",NA(),$B174/$B$4*100)</f>
        <v/>
      </c>
      <c r="E174" s="57">
        <f>IF($C174="",NA(),$C174/$C$4*100)</f>
        <v/>
      </c>
    </row>
    <row r="175">
      <c r="D175" s="57">
        <f>IF($B175="",NA(),$B175/$B$4*100)</f>
        <v/>
      </c>
      <c r="E175" s="57">
        <f>IF($C175="",NA(),$C175/$C$4*100)</f>
        <v/>
      </c>
    </row>
    <row r="176">
      <c r="D176" s="57">
        <f>IF($B176="",NA(),$B176/$B$4*100)</f>
        <v/>
      </c>
      <c r="E176" s="57">
        <f>IF($C176="",NA(),$C176/$C$4*100)</f>
        <v/>
      </c>
    </row>
    <row r="177">
      <c r="D177" s="57">
        <f>IF($B177="",NA(),$B177/$B$4*100)</f>
        <v/>
      </c>
      <c r="E177" s="57">
        <f>IF($C177="",NA(),$C177/$C$4*100)</f>
        <v/>
      </c>
    </row>
    <row r="178">
      <c r="D178" s="57">
        <f>IF($B178="",NA(),$B178/$B$4*100)</f>
        <v/>
      </c>
      <c r="E178" s="57">
        <f>IF($C178="",NA(),$C178/$C$4*100)</f>
        <v/>
      </c>
    </row>
    <row r="179">
      <c r="D179" s="57">
        <f>IF($B179="",NA(),$B179/$B$4*100)</f>
        <v/>
      </c>
      <c r="E179" s="57">
        <f>IF($C179="",NA(),$C179/$C$4*100)</f>
        <v/>
      </c>
    </row>
    <row r="180">
      <c r="D180" s="57">
        <f>IF($B180="",NA(),$B180/$B$4*100)</f>
        <v/>
      </c>
      <c r="E180" s="57">
        <f>IF($C180="",NA(),$C180/$C$4*100)</f>
        <v/>
      </c>
    </row>
    <row r="181">
      <c r="D181" s="57">
        <f>IF($B181="",NA(),$B181/$B$4*100)</f>
        <v/>
      </c>
      <c r="E181" s="57">
        <f>IF($C181="",NA(),$C181/$C$4*100)</f>
        <v/>
      </c>
    </row>
    <row r="182">
      <c r="D182" s="57">
        <f>IF($B182="",NA(),$B182/$B$4*100)</f>
        <v/>
      </c>
      <c r="E182" s="57">
        <f>IF($C182="",NA(),$C182/$C$4*100)</f>
        <v/>
      </c>
    </row>
    <row r="183">
      <c r="D183" s="57">
        <f>IF($B183="",NA(),$B183/$B$4*100)</f>
        <v/>
      </c>
      <c r="E183" s="57">
        <f>IF($C183="",NA(),$C183/$C$4*100)</f>
        <v/>
      </c>
    </row>
    <row r="184">
      <c r="D184" s="57">
        <f>IF($B184="",NA(),$B184/$B$4*100)</f>
        <v/>
      </c>
      <c r="E184" s="57">
        <f>IF($C184="",NA(),$C184/$C$4*100)</f>
        <v/>
      </c>
    </row>
    <row r="185">
      <c r="D185" s="57">
        <f>IF($B185="",NA(),$B185/$B$4*100)</f>
        <v/>
      </c>
      <c r="E185" s="57">
        <f>IF($C185="",NA(),$C185/$C$4*100)</f>
        <v/>
      </c>
    </row>
    <row r="186">
      <c r="D186" s="57">
        <f>IF($B186="",NA(),$B186/$B$4*100)</f>
        <v/>
      </c>
      <c r="E186" s="57">
        <f>IF($C186="",NA(),$C186/$C$4*100)</f>
        <v/>
      </c>
    </row>
    <row r="187">
      <c r="D187" s="57">
        <f>IF($B187="",NA(),$B187/$B$4*100)</f>
        <v/>
      </c>
      <c r="E187" s="57">
        <f>IF($C187="",NA(),$C187/$C$4*100)</f>
        <v/>
      </c>
    </row>
    <row r="188">
      <c r="D188" s="57">
        <f>IF($B188="",NA(),$B188/$B$4*100)</f>
        <v/>
      </c>
      <c r="E188" s="57">
        <f>IF($C188="",NA(),$C188/$C$4*100)</f>
        <v/>
      </c>
    </row>
    <row r="189">
      <c r="D189" s="57">
        <f>IF($B189="",NA(),$B189/$B$4*100)</f>
        <v/>
      </c>
      <c r="E189" s="57">
        <f>IF($C189="",NA(),$C189/$C$4*100)</f>
        <v/>
      </c>
    </row>
    <row r="190">
      <c r="D190" s="57">
        <f>IF($B190="",NA(),$B190/$B$4*100)</f>
        <v/>
      </c>
      <c r="E190" s="57">
        <f>IF($C190="",NA(),$C190/$C$4*100)</f>
        <v/>
      </c>
    </row>
    <row r="191">
      <c r="D191" s="57">
        <f>IF($B191="",NA(),$B191/$B$4*100)</f>
        <v/>
      </c>
      <c r="E191" s="57">
        <f>IF($C191="",NA(),$C191/$C$4*100)</f>
        <v/>
      </c>
    </row>
    <row r="192">
      <c r="D192" s="57">
        <f>IF($B192="",NA(),$B192/$B$4*100)</f>
        <v/>
      </c>
      <c r="E192" s="57">
        <f>IF($C192="",NA(),$C192/$C$4*100)</f>
        <v/>
      </c>
    </row>
    <row r="193">
      <c r="D193" s="57">
        <f>IF($B193="",NA(),$B193/$B$4*100)</f>
        <v/>
      </c>
      <c r="E193" s="57">
        <f>IF($C193="",NA(),$C193/$C$4*100)</f>
        <v/>
      </c>
    </row>
    <row r="194">
      <c r="D194" s="57">
        <f>IF($B194="",NA(),$B194/$B$4*100)</f>
        <v/>
      </c>
      <c r="E194" s="57">
        <f>IF($C194="",NA(),$C194/$C$4*100)</f>
        <v/>
      </c>
    </row>
    <row r="195">
      <c r="D195" s="57">
        <f>IF($B195="",NA(),$B195/$B$4*100)</f>
        <v/>
      </c>
      <c r="E195" s="57">
        <f>IF($C195="",NA(),$C195/$C$4*100)</f>
        <v/>
      </c>
    </row>
    <row r="196">
      <c r="D196" s="57">
        <f>IF($B196="",NA(),$B196/$B$4*100)</f>
        <v/>
      </c>
      <c r="E196" s="57">
        <f>IF($C196="",NA(),$C196/$C$4*100)</f>
        <v/>
      </c>
    </row>
    <row r="197">
      <c r="D197" s="57">
        <f>IF($B197="",NA(),$B197/$B$4*100)</f>
        <v/>
      </c>
      <c r="E197" s="57">
        <f>IF($C197="",NA(),$C197/$C$4*100)</f>
        <v/>
      </c>
    </row>
    <row r="198">
      <c r="D198" s="57">
        <f>IF($B198="",NA(),$B198/$B$4*100)</f>
        <v/>
      </c>
      <c r="E198" s="57">
        <f>IF($C198="",NA(),$C198/$C$4*100)</f>
        <v/>
      </c>
    </row>
    <row r="199">
      <c r="D199" s="57">
        <f>IF($B199="",NA(),$B199/$B$4*100)</f>
        <v/>
      </c>
      <c r="E199" s="57">
        <f>IF($C199="",NA(),$C199/$C$4*100)</f>
        <v/>
      </c>
    </row>
    <row r="200">
      <c r="D200" s="57">
        <f>IF($B200="",NA(),$B200/$B$4*100)</f>
        <v/>
      </c>
      <c r="E200" s="57">
        <f>IF($C200="",NA(),$C200/$C$4*100)</f>
        <v/>
      </c>
    </row>
    <row r="201">
      <c r="D201" s="57">
        <f>IF($B201="",NA(),$B201/$B$4*100)</f>
        <v/>
      </c>
      <c r="E201" s="57">
        <f>IF($C201="",NA(),$C201/$C$4*100)</f>
        <v/>
      </c>
    </row>
    <row r="202">
      <c r="D202" s="57">
        <f>IF($B202="",NA(),$B202/$B$4*100)</f>
        <v/>
      </c>
      <c r="E202" s="57">
        <f>IF($C202="",NA(),$C202/$C$4*100)</f>
        <v/>
      </c>
    </row>
    <row r="203">
      <c r="D203" s="57">
        <f>IF($B203="",NA(),$B203/$B$4*100)</f>
        <v/>
      </c>
      <c r="E203" s="57">
        <f>IF($C203="",NA(),$C203/$C$4*100)</f>
        <v/>
      </c>
    </row>
    <row r="204">
      <c r="D204" s="57">
        <f>IF($B204="",NA(),$B204/$B$4*100)</f>
        <v/>
      </c>
      <c r="E204" s="57">
        <f>IF($C204="",NA(),$C204/$C$4*100)</f>
        <v/>
      </c>
    </row>
    <row r="205">
      <c r="D205" s="57">
        <f>IF($B205="",NA(),$B205/$B$4*100)</f>
        <v/>
      </c>
      <c r="E205" s="57">
        <f>IF($C205="",NA(),$C205/$C$4*100)</f>
        <v/>
      </c>
    </row>
    <row r="206">
      <c r="D206" s="57">
        <f>IF($B206="",NA(),$B206/$B$4*100)</f>
        <v/>
      </c>
      <c r="E206" s="57">
        <f>IF($C206="",NA(),$C206/$C$4*100)</f>
        <v/>
      </c>
    </row>
    <row r="207">
      <c r="D207" s="57">
        <f>IF($B207="",NA(),$B207/$B$4*100)</f>
        <v/>
      </c>
      <c r="E207" s="57">
        <f>IF($C207="",NA(),$C207/$C$4*100)</f>
        <v/>
      </c>
    </row>
    <row r="208">
      <c r="D208" s="57">
        <f>IF($B208="",NA(),$B208/$B$4*100)</f>
        <v/>
      </c>
      <c r="E208" s="57">
        <f>IF($C208="",NA(),$C208/$C$4*100)</f>
        <v/>
      </c>
    </row>
    <row r="209">
      <c r="D209" s="57">
        <f>IF($B209="",NA(),$B209/$B$4*100)</f>
        <v/>
      </c>
      <c r="E209" s="57">
        <f>IF($C209="",NA(),$C209/$C$4*100)</f>
        <v/>
      </c>
    </row>
    <row r="210">
      <c r="D210" s="57">
        <f>IF($B210="",NA(),$B210/$B$4*100)</f>
        <v/>
      </c>
      <c r="E210" s="57">
        <f>IF($C210="",NA(),$C210/$C$4*100)</f>
        <v/>
      </c>
    </row>
    <row r="211">
      <c r="D211" s="57">
        <f>IF($B211="",NA(),$B211/$B$4*100)</f>
        <v/>
      </c>
      <c r="E211" s="57">
        <f>IF($C211="",NA(),$C211/$C$4*100)</f>
        <v/>
      </c>
    </row>
    <row r="212">
      <c r="D212" s="57">
        <f>IF($B212="",NA(),$B212/$B$4*100)</f>
        <v/>
      </c>
      <c r="E212" s="57">
        <f>IF($C212="",NA(),$C212/$C$4*100)</f>
        <v/>
      </c>
    </row>
    <row r="213">
      <c r="D213" s="57">
        <f>IF($B213="",NA(),$B213/$B$4*100)</f>
        <v/>
      </c>
      <c r="E213" s="57">
        <f>IF($C213="",NA(),$C213/$C$4*100)</f>
        <v/>
      </c>
    </row>
    <row r="214">
      <c r="D214" s="57">
        <f>IF($B214="",NA(),$B214/$B$4*100)</f>
        <v/>
      </c>
      <c r="E214" s="57">
        <f>IF($C214="",NA(),$C214/$C$4*100)</f>
        <v/>
      </c>
    </row>
    <row r="215">
      <c r="D215" s="57">
        <f>IF($B215="",NA(),$B215/$B$4*100)</f>
        <v/>
      </c>
      <c r="E215" s="57">
        <f>IF($C215="",NA(),$C215/$C$4*100)</f>
        <v/>
      </c>
    </row>
    <row r="216">
      <c r="D216" s="57">
        <f>IF($B216="",NA(),$B216/$B$4*100)</f>
        <v/>
      </c>
      <c r="E216" s="57">
        <f>IF($C216="",NA(),$C216/$C$4*100)</f>
        <v/>
      </c>
    </row>
    <row r="217">
      <c r="D217" s="57">
        <f>IF($B217="",NA(),$B217/$B$4*100)</f>
        <v/>
      </c>
      <c r="E217" s="57">
        <f>IF($C217="",NA(),$C217/$C$4*100)</f>
        <v/>
      </c>
    </row>
    <row r="218">
      <c r="D218" s="57">
        <f>IF($B218="",NA(),$B218/$B$4*100)</f>
        <v/>
      </c>
      <c r="E218" s="57">
        <f>IF($C218="",NA(),$C218/$C$4*100)</f>
        <v/>
      </c>
    </row>
    <row r="219">
      <c r="D219" s="57">
        <f>IF($B219="",NA(),$B219/$B$4*100)</f>
        <v/>
      </c>
      <c r="E219" s="57">
        <f>IF($C219="",NA(),$C219/$C$4*100)</f>
        <v/>
      </c>
    </row>
    <row r="220">
      <c r="D220" s="57">
        <f>IF($B220="",NA(),$B220/$B$4*100)</f>
        <v/>
      </c>
      <c r="E220" s="57">
        <f>IF($C220="",NA(),$C220/$C$4*100)</f>
        <v/>
      </c>
    </row>
    <row r="221">
      <c r="D221" s="57">
        <f>IF($B221="",NA(),$B221/$B$4*100)</f>
        <v/>
      </c>
      <c r="E221" s="57">
        <f>IF($C221="",NA(),$C221/$C$4*100)</f>
        <v/>
      </c>
    </row>
    <row r="222">
      <c r="D222" s="57">
        <f>IF($B222="",NA(),$B222/$B$4*100)</f>
        <v/>
      </c>
      <c r="E222" s="57">
        <f>IF($C222="",NA(),$C222/$C$4*100)</f>
        <v/>
      </c>
    </row>
    <row r="223">
      <c r="D223" s="57">
        <f>IF($B223="",NA(),$B223/$B$4*100)</f>
        <v/>
      </c>
      <c r="E223" s="57">
        <f>IF($C223="",NA(),$C223/$C$4*100)</f>
        <v/>
      </c>
    </row>
    <row r="224">
      <c r="D224" s="57">
        <f>IF($B224="",NA(),$B224/$B$4*100)</f>
        <v/>
      </c>
      <c r="E224" s="57">
        <f>IF($C224="",NA(),$C224/$C$4*100)</f>
        <v/>
      </c>
    </row>
    <row r="225">
      <c r="D225" s="57">
        <f>IF($B225="",NA(),$B225/$B$4*100)</f>
        <v/>
      </c>
      <c r="E225" s="57">
        <f>IF($C225="",NA(),$C225/$C$4*100)</f>
        <v/>
      </c>
    </row>
    <row r="226">
      <c r="D226" s="57">
        <f>IF($B226="",NA(),$B226/$B$4*100)</f>
        <v/>
      </c>
      <c r="E226" s="57">
        <f>IF($C226="",NA(),$C226/$C$4*100)</f>
        <v/>
      </c>
    </row>
    <row r="227">
      <c r="D227" s="57">
        <f>IF($B227="",NA(),$B227/$B$4*100)</f>
        <v/>
      </c>
      <c r="E227" s="57">
        <f>IF($C227="",NA(),$C227/$C$4*100)</f>
        <v/>
      </c>
    </row>
    <row r="228">
      <c r="D228" s="57">
        <f>IF($B228="",NA(),$B228/$B$4*100)</f>
        <v/>
      </c>
      <c r="E228" s="57">
        <f>IF($C228="",NA(),$C228/$C$4*100)</f>
        <v/>
      </c>
    </row>
    <row r="229">
      <c r="D229" s="57">
        <f>IF($B229="",NA(),$B229/$B$4*100)</f>
        <v/>
      </c>
      <c r="E229" s="57">
        <f>IF($C229="",NA(),$C229/$C$4*100)</f>
        <v/>
      </c>
    </row>
    <row r="230">
      <c r="D230" s="57">
        <f>IF($B230="",NA(),$B230/$B$4*100)</f>
        <v/>
      </c>
      <c r="E230" s="57">
        <f>IF($C230="",NA(),$C230/$C$4*100)</f>
        <v/>
      </c>
    </row>
    <row r="231">
      <c r="D231" s="57">
        <f>IF($B231="",NA(),$B231/$B$4*100)</f>
        <v/>
      </c>
      <c r="E231" s="57">
        <f>IF($C231="",NA(),$C231/$C$4*100)</f>
        <v/>
      </c>
    </row>
    <row r="232">
      <c r="D232" s="57">
        <f>IF($B232="",NA(),$B232/$B$4*100)</f>
        <v/>
      </c>
      <c r="E232" s="57">
        <f>IF($C232="",NA(),$C232/$C$4*100)</f>
        <v/>
      </c>
    </row>
    <row r="233">
      <c r="D233" s="57">
        <f>IF($B233="",NA(),$B233/$B$4*100)</f>
        <v/>
      </c>
      <c r="E233" s="57">
        <f>IF($C233="",NA(),$C233/$C$4*100)</f>
        <v/>
      </c>
    </row>
    <row r="234">
      <c r="D234" s="57">
        <f>IF($B234="",NA(),$B234/$B$4*100)</f>
        <v/>
      </c>
      <c r="E234" s="57">
        <f>IF($C234="",NA(),$C234/$C$4*100)</f>
        <v/>
      </c>
    </row>
    <row r="235">
      <c r="D235" s="57">
        <f>IF($B235="",NA(),$B235/$B$4*100)</f>
        <v/>
      </c>
      <c r="E235" s="57">
        <f>IF($C235="",NA(),$C235/$C$4*100)</f>
        <v/>
      </c>
    </row>
    <row r="236">
      <c r="D236" s="57">
        <f>IF($B236="",NA(),$B236/$B$4*100)</f>
        <v/>
      </c>
      <c r="E236" s="57">
        <f>IF($C236="",NA(),$C236/$C$4*100)</f>
        <v/>
      </c>
    </row>
    <row r="237">
      <c r="D237" s="57">
        <f>IF($B237="",NA(),$B237/$B$4*100)</f>
        <v/>
      </c>
      <c r="E237" s="57">
        <f>IF($C237="",NA(),$C237/$C$4*100)</f>
        <v/>
      </c>
    </row>
    <row r="238">
      <c r="D238" s="57">
        <f>IF($B238="",NA(),$B238/$B$4*100)</f>
        <v/>
      </c>
      <c r="E238" s="57">
        <f>IF($C238="",NA(),$C238/$C$4*100)</f>
        <v/>
      </c>
    </row>
    <row r="239">
      <c r="D239" s="57">
        <f>IF($B239="",NA(),$B239/$B$4*100)</f>
        <v/>
      </c>
      <c r="E239" s="57">
        <f>IF($C239="",NA(),$C239/$C$4*100)</f>
        <v/>
      </c>
    </row>
    <row r="240">
      <c r="D240" s="57">
        <f>IF($B240="",NA(),$B240/$B$4*100)</f>
        <v/>
      </c>
      <c r="E240" s="57">
        <f>IF($C240="",NA(),$C240/$C$4*100)</f>
        <v/>
      </c>
    </row>
    <row r="241">
      <c r="D241" s="57">
        <f>IF($B241="",NA(),$B241/$B$4*100)</f>
        <v/>
      </c>
      <c r="E241" s="57">
        <f>IF($C241="",NA(),$C241/$C$4*100)</f>
        <v/>
      </c>
    </row>
    <row r="242">
      <c r="D242" s="57">
        <f>IF($B242="",NA(),$B242/$B$4*100)</f>
        <v/>
      </c>
      <c r="E242" s="57">
        <f>IF($C242="",NA(),$C242/$C$4*100)</f>
        <v/>
      </c>
    </row>
    <row r="243">
      <c r="D243" s="57">
        <f>IF($B243="",NA(),$B243/$B$4*100)</f>
        <v/>
      </c>
      <c r="E243" s="57">
        <f>IF($C243="",NA(),$C243/$C$4*100)</f>
        <v/>
      </c>
    </row>
    <row r="244">
      <c r="D244" s="57">
        <f>IF($B244="",NA(),$B244/$B$4*100)</f>
        <v/>
      </c>
      <c r="E244" s="57">
        <f>IF($C244="",NA(),$C244/$C$4*100)</f>
        <v/>
      </c>
    </row>
    <row r="245">
      <c r="D245" s="57">
        <f>IF($B245="",NA(),$B245/$B$4*100)</f>
        <v/>
      </c>
      <c r="E245" s="57">
        <f>IF($C245="",NA(),$C245/$C$4*100)</f>
        <v/>
      </c>
    </row>
    <row r="246">
      <c r="D246" s="57">
        <f>IF($B246="",NA(),$B246/$B$4*100)</f>
        <v/>
      </c>
      <c r="E246" s="57">
        <f>IF($C246="",NA(),$C246/$C$4*100)</f>
        <v/>
      </c>
    </row>
    <row r="247">
      <c r="D247" s="57">
        <f>IF($B247="",NA(),$B247/$B$4*100)</f>
        <v/>
      </c>
      <c r="E247" s="57">
        <f>IF($C247="",NA(),$C247/$C$4*100)</f>
        <v/>
      </c>
    </row>
    <row r="248">
      <c r="D248" s="57">
        <f>IF($B248="",NA(),$B248/$B$4*100)</f>
        <v/>
      </c>
      <c r="E248" s="57">
        <f>IF($C248="",NA(),$C248/$C$4*100)</f>
        <v/>
      </c>
    </row>
    <row r="249">
      <c r="D249" s="57">
        <f>IF($B249="",NA(),$B249/$B$4*100)</f>
        <v/>
      </c>
      <c r="E249" s="57">
        <f>IF($C249="",NA(),$C249/$C$4*100)</f>
        <v/>
      </c>
    </row>
    <row r="250">
      <c r="D250" s="57">
        <f>IF($B250="",NA(),$B250/$B$4*100)</f>
        <v/>
      </c>
      <c r="E250" s="57">
        <f>IF($C250="",NA(),$C250/$C$4*100)</f>
        <v/>
      </c>
    </row>
    <row r="251">
      <c r="D251" s="57">
        <f>IF($B251="",NA(),$B251/$B$4*100)</f>
        <v/>
      </c>
      <c r="E251" s="57">
        <f>IF($C251="",NA(),$C251/$C$4*100)</f>
        <v/>
      </c>
    </row>
    <row r="252">
      <c r="D252" s="57">
        <f>IF($B252="",NA(),$B252/$B$4*100)</f>
        <v/>
      </c>
      <c r="E252" s="57">
        <f>IF($C252="",NA(),$C252/$C$4*100)</f>
        <v/>
      </c>
    </row>
    <row r="253">
      <c r="D253" s="57">
        <f>IF($B253="",NA(),$B253/$B$4*100)</f>
        <v/>
      </c>
      <c r="E253" s="57">
        <f>IF($C253="",NA(),$C253/$C$4*100)</f>
        <v/>
      </c>
    </row>
    <row r="254">
      <c r="D254" s="57">
        <f>IF($B254="",NA(),$B254/$B$4*100)</f>
        <v/>
      </c>
      <c r="E254" s="57">
        <f>IF($C254="",NA(),$C254/$C$4*100)</f>
        <v/>
      </c>
    </row>
    <row r="255">
      <c r="D255" s="57">
        <f>IF($B255="",NA(),$B255/$B$4*100)</f>
        <v/>
      </c>
      <c r="E255" s="57">
        <f>IF($C255="",NA(),$C255/$C$4*100)</f>
        <v/>
      </c>
    </row>
    <row r="256">
      <c r="D256" s="57">
        <f>IF($B256="",NA(),$B256/$B$4*100)</f>
        <v/>
      </c>
      <c r="E256" s="57">
        <f>IF($C256="",NA(),$C256/$C$4*100)</f>
        <v/>
      </c>
    </row>
    <row r="257">
      <c r="D257" s="57">
        <f>IF($B257="",NA(),$B257/$B$4*100)</f>
        <v/>
      </c>
      <c r="E257" s="57">
        <f>IF($C257="",NA(),$C257/$C$4*100)</f>
        <v/>
      </c>
    </row>
    <row r="258">
      <c r="D258" s="57">
        <f>IF($B258="",NA(),$B258/$B$4*100)</f>
        <v/>
      </c>
      <c r="E258" s="57">
        <f>IF($C258="",NA(),$C258/$C$4*100)</f>
        <v/>
      </c>
    </row>
    <row r="259">
      <c r="D259" s="57">
        <f>IF($B259="",NA(),$B259/$B$4*100)</f>
        <v/>
      </c>
      <c r="E259" s="57">
        <f>IF($C259="",NA(),$C259/$C$4*100)</f>
        <v/>
      </c>
    </row>
    <row r="260">
      <c r="D260" s="57">
        <f>IF($B260="",NA(),$B260/$B$4*100)</f>
        <v/>
      </c>
      <c r="E260" s="57">
        <f>IF($C260="",NA(),$C260/$C$4*100)</f>
        <v/>
      </c>
    </row>
    <row r="261">
      <c r="D261" s="57">
        <f>IF($B261="",NA(),$B261/$B$4*100)</f>
        <v/>
      </c>
      <c r="E261" s="57">
        <f>IF($C261="",NA(),$C261/$C$4*100)</f>
        <v/>
      </c>
    </row>
    <row r="262">
      <c r="D262" s="57">
        <f>IF($B262="",NA(),$B262/$B$4*100)</f>
        <v/>
      </c>
      <c r="E262" s="57">
        <f>IF($C262="",NA(),$C262/$C$4*100)</f>
        <v/>
      </c>
    </row>
    <row r="263">
      <c r="D263" s="57">
        <f>IF($B263="",NA(),$B263/$B$4*100)</f>
        <v/>
      </c>
      <c r="E263" s="57">
        <f>IF($C263="",NA(),$C263/$C$4*100)</f>
        <v/>
      </c>
    </row>
    <row r="264">
      <c r="D264" s="57">
        <f>IF($B264="",NA(),$B264/$B$4*100)</f>
        <v/>
      </c>
      <c r="E264" s="57">
        <f>IF($C264="",NA(),$C264/$C$4*100)</f>
        <v/>
      </c>
    </row>
    <row r="265">
      <c r="D265" s="57">
        <f>IF($B265="",NA(),$B265/$B$4*100)</f>
        <v/>
      </c>
      <c r="E265" s="57">
        <f>IF($C265="",NA(),$C265/$C$4*100)</f>
        <v/>
      </c>
    </row>
    <row r="266">
      <c r="D266" s="57">
        <f>IF($B266="",NA(),$B266/$B$4*100)</f>
        <v/>
      </c>
      <c r="E266" s="57">
        <f>IF($C266="",NA(),$C266/$C$4*100)</f>
        <v/>
      </c>
    </row>
    <row r="267">
      <c r="D267" s="57">
        <f>IF($B267="",NA(),$B267/$B$4*100)</f>
        <v/>
      </c>
      <c r="E267" s="57">
        <f>IF($C267="",NA(),$C267/$C$4*100)</f>
        <v/>
      </c>
    </row>
    <row r="268">
      <c r="D268" s="57">
        <f>IF($B268="",NA(),$B268/$B$4*100)</f>
        <v/>
      </c>
      <c r="E268" s="57">
        <f>IF($C268="",NA(),$C268/$C$4*100)</f>
        <v/>
      </c>
    </row>
    <row r="269">
      <c r="D269" s="57">
        <f>IF($B269="",NA(),$B269/$B$4*100)</f>
        <v/>
      </c>
      <c r="E269" s="57">
        <f>IF($C269="",NA(),$C269/$C$4*100)</f>
        <v/>
      </c>
    </row>
    <row r="270">
      <c r="D270" s="57">
        <f>IF($B270="",NA(),$B270/$B$4*100)</f>
        <v/>
      </c>
      <c r="E270" s="57">
        <f>IF($C270="",NA(),$C270/$C$4*100)</f>
        <v/>
      </c>
    </row>
    <row r="271">
      <c r="D271" s="57">
        <f>IF($B271="",NA(),$B271/$B$4*100)</f>
        <v/>
      </c>
      <c r="E271" s="57">
        <f>IF($C271="",NA(),$C271/$C$4*100)</f>
        <v/>
      </c>
    </row>
    <row r="272">
      <c r="D272" s="57">
        <f>IF($B272="",NA(),$B272/$B$4*100)</f>
        <v/>
      </c>
      <c r="E272" s="57">
        <f>IF($C272="",NA(),$C272/$C$4*100)</f>
        <v/>
      </c>
    </row>
    <row r="273">
      <c r="D273" s="57">
        <f>IF($B273="",NA(),$B273/$B$4*100)</f>
        <v/>
      </c>
      <c r="E273" s="57">
        <f>IF($C273="",NA(),$C273/$C$4*100)</f>
        <v/>
      </c>
    </row>
    <row r="274">
      <c r="D274" s="57">
        <f>IF($B274="",NA(),$B274/$B$4*100)</f>
        <v/>
      </c>
      <c r="E274" s="57">
        <f>IF($C274="",NA(),$C274/$C$4*100)</f>
        <v/>
      </c>
    </row>
    <row r="275">
      <c r="D275" s="57">
        <f>IF($B275="",NA(),$B275/$B$4*100)</f>
        <v/>
      </c>
      <c r="E275" s="57">
        <f>IF($C275="",NA(),$C275/$C$4*100)</f>
        <v/>
      </c>
    </row>
    <row r="276">
      <c r="D276" s="57">
        <f>IF($B276="",NA(),$B276/$B$4*100)</f>
        <v/>
      </c>
      <c r="E276" s="57">
        <f>IF($C276="",NA(),$C276/$C$4*100)</f>
        <v/>
      </c>
    </row>
    <row r="277">
      <c r="D277" s="57">
        <f>IF($B277="",NA(),$B277/$B$4*100)</f>
        <v/>
      </c>
      <c r="E277" s="57">
        <f>IF($C277="",NA(),$C277/$C$4*100)</f>
        <v/>
      </c>
    </row>
    <row r="278">
      <c r="D278" s="57">
        <f>IF($B278="",NA(),$B278/$B$4*100)</f>
        <v/>
      </c>
      <c r="E278" s="57">
        <f>IF($C278="",NA(),$C278/$C$4*100)</f>
        <v/>
      </c>
    </row>
    <row r="279">
      <c r="D279" s="57">
        <f>IF($B279="",NA(),$B279/$B$4*100)</f>
        <v/>
      </c>
      <c r="E279" s="57">
        <f>IF($C279="",NA(),$C279/$C$4*100)</f>
        <v/>
      </c>
    </row>
    <row r="280">
      <c r="D280" s="57">
        <f>IF($B280="",NA(),$B280/$B$4*100)</f>
        <v/>
      </c>
      <c r="E280" s="57">
        <f>IF($C280="",NA(),$C280/$C$4*100)</f>
        <v/>
      </c>
    </row>
    <row r="281">
      <c r="D281" s="57">
        <f>IF($B281="",NA(),$B281/$B$4*100)</f>
        <v/>
      </c>
      <c r="E281" s="57">
        <f>IF($C281="",NA(),$C281/$C$4*100)</f>
        <v/>
      </c>
    </row>
    <row r="282">
      <c r="D282" s="57">
        <f>IF($B282="",NA(),$B282/$B$4*100)</f>
        <v/>
      </c>
      <c r="E282" s="57">
        <f>IF($C282="",NA(),$C282/$C$4*100)</f>
        <v/>
      </c>
    </row>
    <row r="283">
      <c r="D283" s="57">
        <f>IF($B283="",NA(),$B283/$B$4*100)</f>
        <v/>
      </c>
      <c r="E283" s="57">
        <f>IF($C283="",NA(),$C283/$C$4*100)</f>
        <v/>
      </c>
    </row>
    <row r="284">
      <c r="D284" s="57">
        <f>IF($B284="",NA(),$B284/$B$4*100)</f>
        <v/>
      </c>
      <c r="E284" s="57">
        <f>IF($C284="",NA(),$C284/$C$4*100)</f>
        <v/>
      </c>
    </row>
    <row r="285">
      <c r="D285" s="57">
        <f>IF($B285="",NA(),$B285/$B$4*100)</f>
        <v/>
      </c>
      <c r="E285" s="57">
        <f>IF($C285="",NA(),$C285/$C$4*100)</f>
        <v/>
      </c>
    </row>
    <row r="286">
      <c r="D286" s="57">
        <f>IF($B286="",NA(),$B286/$B$4*100)</f>
        <v/>
      </c>
      <c r="E286" s="57">
        <f>IF($C286="",NA(),$C286/$C$4*100)</f>
        <v/>
      </c>
    </row>
    <row r="287">
      <c r="D287" s="57">
        <f>IF($B287="",NA(),$B287/$B$4*100)</f>
        <v/>
      </c>
      <c r="E287" s="57">
        <f>IF($C287="",NA(),$C287/$C$4*100)</f>
        <v/>
      </c>
    </row>
    <row r="288">
      <c r="D288" s="57">
        <f>IF($B288="",NA(),$B288/$B$4*100)</f>
        <v/>
      </c>
      <c r="E288" s="57">
        <f>IF($C288="",NA(),$C288/$C$4*100)</f>
        <v/>
      </c>
    </row>
    <row r="289">
      <c r="D289" s="57">
        <f>IF($B289="",NA(),$B289/$B$4*100)</f>
        <v/>
      </c>
      <c r="E289" s="57">
        <f>IF($C289="",NA(),$C289/$C$4*100)</f>
        <v/>
      </c>
    </row>
    <row r="290">
      <c r="D290" s="57">
        <f>IF($B290="",NA(),$B290/$B$4*100)</f>
        <v/>
      </c>
      <c r="E290" s="57">
        <f>IF($C290="",NA(),$C290/$C$4*100)</f>
        <v/>
      </c>
    </row>
    <row r="291">
      <c r="D291" s="57">
        <f>IF($B291="",NA(),$B291/$B$4*100)</f>
        <v/>
      </c>
      <c r="E291" s="57">
        <f>IF($C291="",NA(),$C291/$C$4*100)</f>
        <v/>
      </c>
    </row>
    <row r="292">
      <c r="D292" s="57">
        <f>IF($B292="",NA(),$B292/$B$4*100)</f>
        <v/>
      </c>
      <c r="E292" s="57">
        <f>IF($C292="",NA(),$C292/$C$4*100)</f>
        <v/>
      </c>
    </row>
    <row r="293">
      <c r="D293" s="57">
        <f>IF($B293="",NA(),$B293/$B$4*100)</f>
        <v/>
      </c>
      <c r="E293" s="57">
        <f>IF($C293="",NA(),$C293/$C$4*100)</f>
        <v/>
      </c>
    </row>
    <row r="294">
      <c r="D294" s="57">
        <f>IF($B294="",NA(),$B294/$B$4*100)</f>
        <v/>
      </c>
      <c r="E294" s="57">
        <f>IF($C294="",NA(),$C294/$C$4*100)</f>
        <v/>
      </c>
    </row>
    <row r="295">
      <c r="D295" s="57">
        <f>IF($B295="",NA(),$B295/$B$4*100)</f>
        <v/>
      </c>
      <c r="E295" s="57">
        <f>IF($C295="",NA(),$C295/$C$4*100)</f>
        <v/>
      </c>
    </row>
    <row r="296">
      <c r="D296" s="57">
        <f>IF($B296="",NA(),$B296/$B$4*100)</f>
        <v/>
      </c>
      <c r="E296" s="57">
        <f>IF($C296="",NA(),$C296/$C$4*100)</f>
        <v/>
      </c>
    </row>
    <row r="297">
      <c r="D297" s="57">
        <f>IF($B297="",NA(),$B297/$B$4*100)</f>
        <v/>
      </c>
      <c r="E297" s="57">
        <f>IF($C297="",NA(),$C297/$C$4*100)</f>
        <v/>
      </c>
    </row>
    <row r="298">
      <c r="D298" s="57">
        <f>IF($B298="",NA(),$B298/$B$4*100)</f>
        <v/>
      </c>
      <c r="E298" s="57">
        <f>IF($C298="",NA(),$C298/$C$4*100)</f>
        <v/>
      </c>
    </row>
    <row r="299">
      <c r="D299" s="57">
        <f>IF($B299="",NA(),$B299/$B$4*100)</f>
        <v/>
      </c>
      <c r="E299" s="57">
        <f>IF($C299="",NA(),$C299/$C$4*100)</f>
        <v/>
      </c>
    </row>
    <row r="300">
      <c r="D300" s="57">
        <f>IF($B300="",NA(),$B300/$B$4*100)</f>
        <v/>
      </c>
      <c r="E300" s="57">
        <f>IF($C300="",NA(),$C300/$C$4*100)</f>
        <v/>
      </c>
    </row>
    <row r="301">
      <c r="D301" s="57">
        <f>IF($B301="",NA(),$B301/$B$4*100)</f>
        <v/>
      </c>
      <c r="E301" s="57">
        <f>IF($C301="",NA(),$C301/$C$4*100)</f>
        <v/>
      </c>
    </row>
    <row r="302">
      <c r="D302" s="57">
        <f>IF($B302="",NA(),$B302/$B$4*100)</f>
        <v/>
      </c>
      <c r="E302" s="57">
        <f>IF($C302="",NA(),$C302/$C$4*100)</f>
        <v/>
      </c>
    </row>
    <row r="303">
      <c r="D303" s="57">
        <f>IF($B303="",NA(),$B303/$B$4*100)</f>
        <v/>
      </c>
      <c r="E303" s="57">
        <f>IF($C303="",NA(),$C303/$C$4*100)</f>
        <v/>
      </c>
    </row>
    <row r="304">
      <c r="D304" s="57">
        <f>IF($B304="",NA(),$B304/$B$4*100)</f>
        <v/>
      </c>
      <c r="E304" s="57">
        <f>IF($C304="",NA(),$C304/$C$4*100)</f>
        <v/>
      </c>
    </row>
    <row r="305">
      <c r="D305" s="57">
        <f>IF($B305="",NA(),$B305/$B$4*100)</f>
        <v/>
      </c>
      <c r="E305" s="57">
        <f>IF($C305="",NA(),$C305/$C$4*100)</f>
        <v/>
      </c>
    </row>
    <row r="306">
      <c r="D306" s="57">
        <f>IF($B306="",NA(),$B306/$B$4*100)</f>
        <v/>
      </c>
      <c r="E306" s="57">
        <f>IF($C306="",NA(),$C306/$C$4*100)</f>
        <v/>
      </c>
    </row>
    <row r="307">
      <c r="D307" s="57">
        <f>IF($B307="",NA(),$B307/$B$4*100)</f>
        <v/>
      </c>
      <c r="E307" s="57">
        <f>IF($C307="",NA(),$C307/$C$4*100)</f>
        <v/>
      </c>
    </row>
    <row r="308">
      <c r="D308" s="57">
        <f>IF($B308="",NA(),$B308/$B$4*100)</f>
        <v/>
      </c>
      <c r="E308" s="57">
        <f>IF($C308="",NA(),$C308/$C$4*100)</f>
        <v/>
      </c>
    </row>
    <row r="309">
      <c r="D309" s="57">
        <f>IF($B309="",NA(),$B309/$B$4*100)</f>
        <v/>
      </c>
      <c r="E309" s="57">
        <f>IF($C309="",NA(),$C309/$C$4*100)</f>
        <v/>
      </c>
    </row>
    <row r="310">
      <c r="D310" s="57">
        <f>IF($B310="",NA(),$B310/$B$4*100)</f>
        <v/>
      </c>
      <c r="E310" s="57">
        <f>IF($C310="",NA(),$C310/$C$4*100)</f>
        <v/>
      </c>
    </row>
    <row r="311">
      <c r="D311" s="57">
        <f>IF($B311="",NA(),$B311/$B$4*100)</f>
        <v/>
      </c>
      <c r="E311" s="57">
        <f>IF($C311="",NA(),$C311/$C$4*100)</f>
        <v/>
      </c>
    </row>
    <row r="312">
      <c r="D312" s="57">
        <f>IF($B312="",NA(),$B312/$B$4*100)</f>
        <v/>
      </c>
      <c r="E312" s="57">
        <f>IF($C312="",NA(),$C312/$C$4*100)</f>
        <v/>
      </c>
    </row>
    <row r="313">
      <c r="D313" s="57">
        <f>IF($B313="",NA(),$B313/$B$4*100)</f>
        <v/>
      </c>
      <c r="E313" s="57">
        <f>IF($C313="",NA(),$C313/$C$4*100)</f>
        <v/>
      </c>
    </row>
    <row r="314">
      <c r="D314" s="57">
        <f>IF($B314="",NA(),$B314/$B$4*100)</f>
        <v/>
      </c>
      <c r="E314" s="57">
        <f>IF($C314="",NA(),$C314/$C$4*100)</f>
        <v/>
      </c>
    </row>
    <row r="315">
      <c r="D315" s="57">
        <f>IF($B315="",NA(),$B315/$B$4*100)</f>
        <v/>
      </c>
      <c r="E315" s="57">
        <f>IF($C315="",NA(),$C315/$C$4*100)</f>
        <v/>
      </c>
    </row>
    <row r="316">
      <c r="D316" s="57">
        <f>IF($B316="",NA(),$B316/$B$4*100)</f>
        <v/>
      </c>
      <c r="E316" s="57">
        <f>IF($C316="",NA(),$C316/$C$4*100)</f>
        <v/>
      </c>
    </row>
    <row r="317">
      <c r="D317" s="57">
        <f>IF($B317="",NA(),$B317/$B$4*100)</f>
        <v/>
      </c>
      <c r="E317" s="57">
        <f>IF($C317="",NA(),$C317/$C$4*100)</f>
        <v/>
      </c>
    </row>
    <row r="318">
      <c r="D318" s="57">
        <f>IF($B318="",NA(),$B318/$B$4*100)</f>
        <v/>
      </c>
      <c r="E318" s="57">
        <f>IF($C318="",NA(),$C318/$C$4*100)</f>
        <v/>
      </c>
    </row>
    <row r="319">
      <c r="D319" s="57">
        <f>IF($B319="",NA(),$B319/$B$4*100)</f>
        <v/>
      </c>
      <c r="E319" s="57">
        <f>IF($C319="",NA(),$C319/$C$4*100)</f>
        <v/>
      </c>
    </row>
    <row r="320">
      <c r="D320" s="57">
        <f>IF($B320="",NA(),$B320/$B$4*100)</f>
        <v/>
      </c>
      <c r="E320" s="57">
        <f>IF($C320="",NA(),$C320/$C$4*100)</f>
        <v/>
      </c>
    </row>
    <row r="321">
      <c r="D321" s="57">
        <f>IF($B321="",NA(),$B321/$B$4*100)</f>
        <v/>
      </c>
      <c r="E321" s="57">
        <f>IF($C321="",NA(),$C321/$C$4*100)</f>
        <v/>
      </c>
    </row>
    <row r="322">
      <c r="D322" s="57">
        <f>IF($B322="",NA(),$B322/$B$4*100)</f>
        <v/>
      </c>
      <c r="E322" s="57">
        <f>IF($C322="",NA(),$C322/$C$4*100)</f>
        <v/>
      </c>
    </row>
    <row r="323">
      <c r="D323" s="57">
        <f>IF($B323="",NA(),$B323/$B$4*100)</f>
        <v/>
      </c>
      <c r="E323" s="57">
        <f>IF($C323="",NA(),$C323/$C$4*100)</f>
        <v/>
      </c>
    </row>
    <row r="324">
      <c r="D324" s="57">
        <f>IF($B324="",NA(),$B324/$B$4*100)</f>
        <v/>
      </c>
      <c r="E324" s="57">
        <f>IF($C324="",NA(),$C324/$C$4*100)</f>
        <v/>
      </c>
    </row>
    <row r="325">
      <c r="D325" s="57">
        <f>IF($B325="",NA(),$B325/$B$4*100)</f>
        <v/>
      </c>
      <c r="E325" s="57">
        <f>IF($C325="",NA(),$C325/$C$4*100)</f>
        <v/>
      </c>
    </row>
    <row r="326">
      <c r="D326" s="57">
        <f>IF($B326="",NA(),$B326/$B$4*100)</f>
        <v/>
      </c>
      <c r="E326" s="57">
        <f>IF($C326="",NA(),$C326/$C$4*100)</f>
        <v/>
      </c>
    </row>
    <row r="327">
      <c r="D327" s="57">
        <f>IF($B327="",NA(),$B327/$B$4*100)</f>
        <v/>
      </c>
      <c r="E327" s="57">
        <f>IF($C327="",NA(),$C327/$C$4*100)</f>
        <v/>
      </c>
    </row>
    <row r="328">
      <c r="D328" s="57">
        <f>IF($B328="",NA(),$B328/$B$4*100)</f>
        <v/>
      </c>
      <c r="E328" s="57">
        <f>IF($C328="",NA(),$C328/$C$4*100)</f>
        <v/>
      </c>
    </row>
    <row r="329">
      <c r="D329" s="57">
        <f>IF($B329="",NA(),$B329/$B$4*100)</f>
        <v/>
      </c>
      <c r="E329" s="57">
        <f>IF($C329="",NA(),$C329/$C$4*100)</f>
        <v/>
      </c>
    </row>
    <row r="330">
      <c r="D330" s="57">
        <f>IF($B330="",NA(),$B330/$B$4*100)</f>
        <v/>
      </c>
      <c r="E330" s="57">
        <f>IF($C330="",NA(),$C330/$C$4*100)</f>
        <v/>
      </c>
    </row>
    <row r="331">
      <c r="D331" s="57">
        <f>IF($B331="",NA(),$B331/$B$4*100)</f>
        <v/>
      </c>
      <c r="E331" s="57">
        <f>IF($C331="",NA(),$C331/$C$4*100)</f>
        <v/>
      </c>
    </row>
    <row r="332">
      <c r="D332" s="57">
        <f>IF($B332="",NA(),$B332/$B$4*100)</f>
        <v/>
      </c>
      <c r="E332" s="57">
        <f>IF($C332="",NA(),$C332/$C$4*100)</f>
        <v/>
      </c>
    </row>
    <row r="333">
      <c r="D333" s="57">
        <f>IF($B333="",NA(),$B333/$B$4*100)</f>
        <v/>
      </c>
      <c r="E333" s="57">
        <f>IF($C333="",NA(),$C333/$C$4*100)</f>
        <v/>
      </c>
    </row>
    <row r="334">
      <c r="D334" s="57">
        <f>IF($B334="",NA(),$B334/$B$4*100)</f>
        <v/>
      </c>
      <c r="E334" s="57">
        <f>IF($C334="",NA(),$C334/$C$4*100)</f>
        <v/>
      </c>
    </row>
    <row r="335">
      <c r="D335" s="57">
        <f>IF($B335="",NA(),$B335/$B$4*100)</f>
        <v/>
      </c>
      <c r="E335" s="57">
        <f>IF($C335="",NA(),$C335/$C$4*100)</f>
        <v/>
      </c>
    </row>
    <row r="336">
      <c r="D336" s="57">
        <f>IF($B336="",NA(),$B336/$B$4*100)</f>
        <v/>
      </c>
      <c r="E336" s="57">
        <f>IF($C336="",NA(),$C336/$C$4*100)</f>
        <v/>
      </c>
    </row>
    <row r="337">
      <c r="D337" s="57">
        <f>IF($B337="",NA(),$B337/$B$4*100)</f>
        <v/>
      </c>
      <c r="E337" s="57">
        <f>IF($C337="",NA(),$C337/$C$4*100)</f>
        <v/>
      </c>
    </row>
    <row r="338">
      <c r="D338" s="57">
        <f>IF($B338="",NA(),$B338/$B$4*100)</f>
        <v/>
      </c>
      <c r="E338" s="57">
        <f>IF($C338="",NA(),$C338/$C$4*100)</f>
        <v/>
      </c>
    </row>
    <row r="339">
      <c r="D339" s="57">
        <f>IF($B339="",NA(),$B339/$B$4*100)</f>
        <v/>
      </c>
      <c r="E339" s="57">
        <f>IF($C339="",NA(),$C339/$C$4*100)</f>
        <v/>
      </c>
    </row>
    <row r="340">
      <c r="D340" s="57">
        <f>IF($B340="",NA(),$B340/$B$4*100)</f>
        <v/>
      </c>
      <c r="E340" s="57">
        <f>IF($C340="",NA(),$C340/$C$4*100)</f>
        <v/>
      </c>
    </row>
    <row r="341">
      <c r="D341" s="57">
        <f>IF($B341="",NA(),$B341/$B$4*100)</f>
        <v/>
      </c>
      <c r="E341" s="57">
        <f>IF($C341="",NA(),$C341/$C$4*100)</f>
        <v/>
      </c>
    </row>
    <row r="342">
      <c r="D342" s="57">
        <f>IF($B342="",NA(),$B342/$B$4*100)</f>
        <v/>
      </c>
      <c r="E342" s="57">
        <f>IF($C342="",NA(),$C342/$C$4*100)</f>
        <v/>
      </c>
    </row>
    <row r="343">
      <c r="D343" s="57">
        <f>IF($B343="",NA(),$B343/$B$4*100)</f>
        <v/>
      </c>
      <c r="E343" s="57">
        <f>IF($C343="",NA(),$C343/$C$4*100)</f>
        <v/>
      </c>
    </row>
    <row r="344">
      <c r="D344" s="57">
        <f>IF($B344="",NA(),$B344/$B$4*100)</f>
        <v/>
      </c>
      <c r="E344" s="57">
        <f>IF($C344="",NA(),$C344/$C$4*100)</f>
        <v/>
      </c>
    </row>
    <row r="345">
      <c r="D345" s="57">
        <f>IF($B345="",NA(),$B345/$B$4*100)</f>
        <v/>
      </c>
      <c r="E345" s="57">
        <f>IF($C345="",NA(),$C345/$C$4*100)</f>
        <v/>
      </c>
    </row>
    <row r="346">
      <c r="D346" s="57">
        <f>IF($B346="",NA(),$B346/$B$4*100)</f>
        <v/>
      </c>
      <c r="E346" s="57">
        <f>IF($C346="",NA(),$C346/$C$4*100)</f>
        <v/>
      </c>
    </row>
    <row r="347">
      <c r="D347" s="57">
        <f>IF($B347="",NA(),$B347/$B$4*100)</f>
        <v/>
      </c>
      <c r="E347" s="57">
        <f>IF($C347="",NA(),$C347/$C$4*100)</f>
        <v/>
      </c>
    </row>
    <row r="348">
      <c r="D348" s="57">
        <f>IF($B348="",NA(),$B348/$B$4*100)</f>
        <v/>
      </c>
      <c r="E348" s="57">
        <f>IF($C348="",NA(),$C348/$C$4*100)</f>
        <v/>
      </c>
    </row>
    <row r="349">
      <c r="D349" s="57">
        <f>IF($B349="",NA(),$B349/$B$4*100)</f>
        <v/>
      </c>
      <c r="E349" s="57">
        <f>IF($C349="",NA(),$C349/$C$4*100)</f>
        <v/>
      </c>
    </row>
    <row r="350">
      <c r="D350" s="57">
        <f>IF($B350="",NA(),$B350/$B$4*100)</f>
        <v/>
      </c>
      <c r="E350" s="57">
        <f>IF($C350="",NA(),$C350/$C$4*100)</f>
        <v/>
      </c>
    </row>
    <row r="351">
      <c r="D351" s="57">
        <f>IF($B351="",NA(),$B351/$B$4*100)</f>
        <v/>
      </c>
      <c r="E351" s="57">
        <f>IF($C351="",NA(),$C351/$C$4*100)</f>
        <v/>
      </c>
    </row>
    <row r="352">
      <c r="D352" s="57">
        <f>IF($B352="",NA(),$B352/$B$4*100)</f>
        <v/>
      </c>
      <c r="E352" s="57">
        <f>IF($C352="",NA(),$C352/$C$4*100)</f>
        <v/>
      </c>
    </row>
    <row r="353">
      <c r="D353" s="57">
        <f>IF($B353="",NA(),$B353/$B$4*100)</f>
        <v/>
      </c>
      <c r="E353" s="57">
        <f>IF($C353="",NA(),$C353/$C$4*100)</f>
        <v/>
      </c>
    </row>
    <row r="354">
      <c r="D354" s="57">
        <f>IF($B354="",NA(),$B354/$B$4*100)</f>
        <v/>
      </c>
      <c r="E354" s="57">
        <f>IF($C354="",NA(),$C354/$C$4*100)</f>
        <v/>
      </c>
    </row>
    <row r="355">
      <c r="D355" s="57">
        <f>IF($B355="",NA(),$B355/$B$4*100)</f>
        <v/>
      </c>
      <c r="E355" s="57">
        <f>IF($C355="",NA(),$C355/$C$4*100)</f>
        <v/>
      </c>
    </row>
    <row r="356">
      <c r="D356" s="57">
        <f>IF($B356="",NA(),$B356/$B$4*100)</f>
        <v/>
      </c>
      <c r="E356" s="57">
        <f>IF($C356="",NA(),$C356/$C$4*100)</f>
        <v/>
      </c>
    </row>
    <row r="357">
      <c r="D357" s="57">
        <f>IF($B357="",NA(),$B357/$B$4*100)</f>
        <v/>
      </c>
      <c r="E357" s="57">
        <f>IF($C357="",NA(),$C357/$C$4*100)</f>
        <v/>
      </c>
    </row>
    <row r="358">
      <c r="D358" s="57">
        <f>IF($B358="",NA(),$B358/$B$4*100)</f>
        <v/>
      </c>
      <c r="E358" s="57">
        <f>IF($C358="",NA(),$C358/$C$4*100)</f>
        <v/>
      </c>
    </row>
    <row r="359">
      <c r="D359" s="57">
        <f>IF($B359="",NA(),$B359/$B$4*100)</f>
        <v/>
      </c>
      <c r="E359" s="57">
        <f>IF($C359="",NA(),$C359/$C$4*100)</f>
        <v/>
      </c>
    </row>
    <row r="360">
      <c r="D360" s="57">
        <f>IF($B360="",NA(),$B360/$B$4*100)</f>
        <v/>
      </c>
      <c r="E360" s="57">
        <f>IF($C360="",NA(),$C360/$C$4*100)</f>
        <v/>
      </c>
    </row>
    <row r="361">
      <c r="D361" s="57">
        <f>IF($B361="",NA(),$B361/$B$4*100)</f>
        <v/>
      </c>
      <c r="E361" s="57">
        <f>IF($C361="",NA(),$C361/$C$4*100)</f>
        <v/>
      </c>
    </row>
    <row r="362">
      <c r="D362" s="57">
        <f>IF($B362="",NA(),$B362/$B$4*100)</f>
        <v/>
      </c>
      <c r="E362" s="57">
        <f>IF($C362="",NA(),$C362/$C$4*100)</f>
        <v/>
      </c>
    </row>
    <row r="363">
      <c r="D363" s="57">
        <f>IF($B363="",NA(),$B363/$B$4*100)</f>
        <v/>
      </c>
      <c r="E363" s="57">
        <f>IF($C363="",NA(),$C363/$C$4*100)</f>
        <v/>
      </c>
    </row>
    <row r="364">
      <c r="D364" s="57">
        <f>IF($B364="",NA(),$B364/$B$4*100)</f>
        <v/>
      </c>
      <c r="E364" s="57">
        <f>IF($C364="",NA(),$C364/$C$4*100)</f>
        <v/>
      </c>
    </row>
    <row r="365">
      <c r="D365" s="57">
        <f>IF($B365="",NA(),$B365/$B$4*100)</f>
        <v/>
      </c>
      <c r="E365" s="57">
        <f>IF($C365="",NA(),$C365/$C$4*100)</f>
        <v/>
      </c>
    </row>
    <row r="366">
      <c r="D366" s="57">
        <f>IF($B366="",NA(),$B366/$B$4*100)</f>
        <v/>
      </c>
      <c r="E366" s="57">
        <f>IF($C366="",NA(),$C366/$C$4*100)</f>
        <v/>
      </c>
    </row>
    <row r="367">
      <c r="D367" s="57">
        <f>IF($B367="",NA(),$B367/$B$4*100)</f>
        <v/>
      </c>
      <c r="E367" s="57">
        <f>IF($C367="",NA(),$C367/$C$4*100)</f>
        <v/>
      </c>
    </row>
    <row r="368">
      <c r="D368" s="57">
        <f>IF($B368="",NA(),$B368/$B$4*100)</f>
        <v/>
      </c>
      <c r="E368" s="57">
        <f>IF($C368="",NA(),$C368/$C$4*100)</f>
        <v/>
      </c>
    </row>
    <row r="369">
      <c r="D369" s="57">
        <f>IF($B369="",NA(),$B369/$B$4*100)</f>
        <v/>
      </c>
      <c r="E369" s="57">
        <f>IF($C369="",NA(),$C369/$C$4*100)</f>
        <v/>
      </c>
    </row>
    <row r="370">
      <c r="D370" s="57">
        <f>IF($B370="",NA(),$B370/$B$4*100)</f>
        <v/>
      </c>
      <c r="E370" s="57">
        <f>IF($C370="",NA(),$C370/$C$4*100)</f>
        <v/>
      </c>
    </row>
    <row r="371">
      <c r="D371" s="57">
        <f>IF($B371="",NA(),$B371/$B$4*100)</f>
        <v/>
      </c>
      <c r="E371" s="57">
        <f>IF($C371="",NA(),$C371/$C$4*100)</f>
        <v/>
      </c>
    </row>
    <row r="372">
      <c r="D372" s="57">
        <f>IF($B372="",NA(),$B372/$B$4*100)</f>
        <v/>
      </c>
      <c r="E372" s="57">
        <f>IF($C372="",NA(),$C372/$C$4*100)</f>
        <v/>
      </c>
    </row>
    <row r="373">
      <c r="D373" s="57">
        <f>IF($B373="",NA(),$B373/$B$4*100)</f>
        <v/>
      </c>
      <c r="E373" s="57">
        <f>IF($C373="",NA(),$C373/$C$4*100)</f>
        <v/>
      </c>
    </row>
    <row r="374">
      <c r="D374" s="57">
        <f>IF($B374="",NA(),$B374/$B$4*100)</f>
        <v/>
      </c>
      <c r="E374" s="57">
        <f>IF($C374="",NA(),$C374/$C$4*100)</f>
        <v/>
      </c>
    </row>
    <row r="375">
      <c r="D375" s="57">
        <f>IF($B375="",NA(),$B375/$B$4*100)</f>
        <v/>
      </c>
      <c r="E375" s="57">
        <f>IF($C375="",NA(),$C375/$C$4*100)</f>
        <v/>
      </c>
    </row>
    <row r="376">
      <c r="D376" s="57">
        <f>IF($B376="",NA(),$B376/$B$4*100)</f>
        <v/>
      </c>
      <c r="E376" s="57">
        <f>IF($C376="",NA(),$C376/$C$4*100)</f>
        <v/>
      </c>
    </row>
    <row r="377">
      <c r="D377" s="57">
        <f>IF($B377="",NA(),$B377/$B$4*100)</f>
        <v/>
      </c>
      <c r="E377" s="57">
        <f>IF($C377="",NA(),$C377/$C$4*100)</f>
        <v/>
      </c>
    </row>
    <row r="378">
      <c r="D378" s="57">
        <f>IF($B378="",NA(),$B378/$B$4*100)</f>
        <v/>
      </c>
      <c r="E378" s="57">
        <f>IF($C378="",NA(),$C378/$C$4*100)</f>
        <v/>
      </c>
    </row>
    <row r="379">
      <c r="D379" s="57">
        <f>IF($B379="",NA(),$B379/$B$4*100)</f>
        <v/>
      </c>
      <c r="E379" s="57">
        <f>IF($C379="",NA(),$C379/$C$4*100)</f>
        <v/>
      </c>
    </row>
    <row r="380">
      <c r="D380" s="57">
        <f>IF($B380="",NA(),$B380/$B$4*100)</f>
        <v/>
      </c>
      <c r="E380" s="57">
        <f>IF($C380="",NA(),$C380/$C$4*100)</f>
        <v/>
      </c>
    </row>
    <row r="381">
      <c r="D381" s="57">
        <f>IF($B381="",NA(),$B381/$B$4*100)</f>
        <v/>
      </c>
      <c r="E381" s="57">
        <f>IF($C381="",NA(),$C381/$C$4*100)</f>
        <v/>
      </c>
    </row>
    <row r="382">
      <c r="D382" s="57">
        <f>IF($B382="",NA(),$B382/$B$4*100)</f>
        <v/>
      </c>
      <c r="E382" s="57">
        <f>IF($C382="",NA(),$C382/$C$4*100)</f>
        <v/>
      </c>
    </row>
    <row r="383">
      <c r="D383" s="57">
        <f>IF($B383="",NA(),$B383/$B$4*100)</f>
        <v/>
      </c>
      <c r="E383" s="57">
        <f>IF($C383="",NA(),$C383/$C$4*100)</f>
        <v/>
      </c>
    </row>
    <row r="384">
      <c r="D384" s="57">
        <f>IF($B384="",NA(),$B384/$B$4*100)</f>
        <v/>
      </c>
      <c r="E384" s="57">
        <f>IF($C384="",NA(),$C384/$C$4*100)</f>
        <v/>
      </c>
    </row>
    <row r="385">
      <c r="D385" s="57">
        <f>IF($B385="",NA(),$B385/$B$4*100)</f>
        <v/>
      </c>
      <c r="E385" s="57">
        <f>IF($C385="",NA(),$C385/$C$4*100)</f>
        <v/>
      </c>
    </row>
    <row r="386">
      <c r="D386" s="57">
        <f>IF($B386="",NA(),$B386/$B$4*100)</f>
        <v/>
      </c>
      <c r="E386" s="57">
        <f>IF($C386="",NA(),$C386/$C$4*100)</f>
        <v/>
      </c>
    </row>
    <row r="387">
      <c r="D387" s="57">
        <f>IF($B387="",NA(),$B387/$B$4*100)</f>
        <v/>
      </c>
      <c r="E387" s="57">
        <f>IF($C387="",NA(),$C387/$C$4*100)</f>
        <v/>
      </c>
    </row>
    <row r="388">
      <c r="D388" s="57">
        <f>IF($B388="",NA(),$B388/$B$4*100)</f>
        <v/>
      </c>
      <c r="E388" s="57">
        <f>IF($C388="",NA(),$C388/$C$4*100)</f>
        <v/>
      </c>
    </row>
    <row r="389">
      <c r="D389" s="57">
        <f>IF($B389="",NA(),$B389/$B$4*100)</f>
        <v/>
      </c>
      <c r="E389" s="57">
        <f>IF($C389="",NA(),$C389/$C$4*100)</f>
        <v/>
      </c>
    </row>
    <row r="390">
      <c r="D390" s="57">
        <f>IF($B390="",NA(),$B390/$B$4*100)</f>
        <v/>
      </c>
      <c r="E390" s="57">
        <f>IF($C390="",NA(),$C390/$C$4*100)</f>
        <v/>
      </c>
    </row>
    <row r="391">
      <c r="D391" s="57">
        <f>IF($B391="",NA(),$B391/$B$4*100)</f>
        <v/>
      </c>
      <c r="E391" s="57">
        <f>IF($C391="",NA(),$C391/$C$4*100)</f>
        <v/>
      </c>
    </row>
    <row r="392">
      <c r="D392" s="57">
        <f>IF($B392="",NA(),$B392/$B$4*100)</f>
        <v/>
      </c>
      <c r="E392" s="57">
        <f>IF($C392="",NA(),$C392/$C$4*100)</f>
        <v/>
      </c>
    </row>
    <row r="393">
      <c r="D393" s="57">
        <f>IF($B393="",NA(),$B393/$B$4*100)</f>
        <v/>
      </c>
      <c r="E393" s="57">
        <f>IF($C393="",NA(),$C393/$C$4*100)</f>
        <v/>
      </c>
    </row>
    <row r="394">
      <c r="D394" s="57">
        <f>IF($B394="",NA(),$B394/$B$4*100)</f>
        <v/>
      </c>
      <c r="E394" s="57">
        <f>IF($C394="",NA(),$C394/$C$4*100)</f>
        <v/>
      </c>
    </row>
    <row r="395">
      <c r="D395" s="57">
        <f>IF($B395="",NA(),$B395/$B$4*100)</f>
        <v/>
      </c>
      <c r="E395" s="57">
        <f>IF($C395="",NA(),$C395/$C$4*100)</f>
        <v/>
      </c>
    </row>
    <row r="396">
      <c r="D396" s="57">
        <f>IF($B396="",NA(),$B396/$B$4*100)</f>
        <v/>
      </c>
      <c r="E396" s="57">
        <f>IF($C396="",NA(),$C396/$C$4*100)</f>
        <v/>
      </c>
    </row>
    <row r="397">
      <c r="D397" s="57">
        <f>IF($B397="",NA(),$B397/$B$4*100)</f>
        <v/>
      </c>
      <c r="E397" s="57">
        <f>IF($C397="",NA(),$C397/$C$4*100)</f>
        <v/>
      </c>
    </row>
    <row r="398">
      <c r="D398" s="57">
        <f>IF($B398="",NA(),$B398/$B$4*100)</f>
        <v/>
      </c>
      <c r="E398" s="57">
        <f>IF($C398="",NA(),$C398/$C$4*100)</f>
        <v/>
      </c>
    </row>
    <row r="399">
      <c r="D399" s="57">
        <f>IF($B399="",NA(),$B399/$B$4*100)</f>
        <v/>
      </c>
      <c r="E399" s="57">
        <f>IF($C399="",NA(),$C399/$C$4*100)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2026-10-15T01:00:26Z</dcterms:created>
  <dcterms:modified xmlns:dcterms="http://purl.org/dc/terms/" xmlns:xsi="http://www.w3.org/2001/XMLSchema-instance" xsi:type="dcterms:W3CDTF">2026-10-15T01:00:26Z</dcterms:modified>
</cp:coreProperties>
</file>